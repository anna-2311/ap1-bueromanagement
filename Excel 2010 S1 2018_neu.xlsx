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_Unterrichtsvorbereitung\EDV\Excel\Excel Schüler S 2018\Bearbeitet\"/>
    </mc:Choice>
  </mc:AlternateContent>
  <xr:revisionPtr revIDLastSave="0" documentId="13_ncr:1_{230AE7AE-DA7F-46E6-B8EC-33C30AE0DBAA}" xr6:coauthVersionLast="36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Wochenveranstaltung" sheetId="1" r:id="rId1"/>
    <sheet name="Filialumsätze" sheetId="2" r:id="rId2"/>
    <sheet name="Verkäuferanalyse" sheetId="3" r:id="rId3"/>
    <sheet name="Kraftstoffverbrauch" sheetId="7" r:id="rId4"/>
    <sheet name="Filialkosten" sheetId="6" r:id="rId5"/>
    <sheet name="Lagerbestand" sheetId="5" r:id="rId6"/>
    <sheet name="Grundstückskauf" sheetId="4" r:id="rId7"/>
    <sheet name="Gehaltsermittlung" sheetId="8" r:id="rId8"/>
    <sheet name="L1" sheetId="17" r:id="rId9"/>
    <sheet name="L2" sheetId="16" r:id="rId10"/>
    <sheet name="L3" sheetId="15" r:id="rId11"/>
    <sheet name="L4" sheetId="14" r:id="rId12"/>
    <sheet name="L5" sheetId="13" r:id="rId13"/>
    <sheet name="L6" sheetId="12" r:id="rId14"/>
    <sheet name="L7" sheetId="11" r:id="rId15"/>
    <sheet name="L8" sheetId="10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2" l="1"/>
  <c r="M1" i="8"/>
  <c r="M5" i="4"/>
  <c r="M1" i="5"/>
  <c r="M1" i="6"/>
  <c r="M1" i="7"/>
  <c r="M7" i="3"/>
  <c r="J13" i="10"/>
  <c r="L13" i="10" s="1"/>
  <c r="J12" i="10"/>
  <c r="L12" i="10" s="1"/>
  <c r="K12" i="10"/>
  <c r="J11" i="10"/>
  <c r="K11" i="10" s="1"/>
  <c r="L11" i="10"/>
  <c r="J10" i="10"/>
  <c r="K10" i="10"/>
  <c r="L10" i="10"/>
  <c r="E14" i="11"/>
  <c r="G14" i="11"/>
  <c r="D14" i="11"/>
  <c r="E13" i="11"/>
  <c r="G13" i="11"/>
  <c r="D13" i="11"/>
  <c r="E12" i="11"/>
  <c r="G12" i="11"/>
  <c r="D12" i="11"/>
  <c r="E11" i="11"/>
  <c r="G11" i="11" s="1"/>
  <c r="D11" i="11"/>
  <c r="E13" i="12"/>
  <c r="D13" i="12"/>
  <c r="C13" i="12"/>
  <c r="B13" i="12"/>
  <c r="C14" i="13"/>
  <c r="E14" i="13"/>
  <c r="C15" i="13"/>
  <c r="E15" i="13"/>
  <c r="E22" i="13" s="1"/>
  <c r="C16" i="13"/>
  <c r="E16" i="13"/>
  <c r="C17" i="13"/>
  <c r="E17" i="13"/>
  <c r="C18" i="13"/>
  <c r="E18" i="13"/>
  <c r="C19" i="13"/>
  <c r="C22" i="13" s="1"/>
  <c r="E19" i="13"/>
  <c r="C20" i="13"/>
  <c r="E20" i="13"/>
  <c r="C21" i="13"/>
  <c r="E21" i="13"/>
  <c r="D22" i="13"/>
  <c r="B22" i="13"/>
  <c r="D17" i="14"/>
  <c r="F17" i="14"/>
  <c r="D16" i="14"/>
  <c r="F16" i="14"/>
  <c r="D15" i="14"/>
  <c r="F15" i="14"/>
  <c r="D14" i="14"/>
  <c r="F14" i="14"/>
  <c r="B19" i="15"/>
  <c r="E19" i="15"/>
  <c r="C19" i="15"/>
  <c r="D19" i="15" s="1"/>
  <c r="E18" i="15"/>
  <c r="D18" i="15"/>
  <c r="E17" i="15"/>
  <c r="D17" i="15"/>
  <c r="E16" i="15"/>
  <c r="D16" i="15"/>
  <c r="E15" i="15"/>
  <c r="D15" i="15"/>
  <c r="E14" i="15"/>
  <c r="D14" i="15"/>
  <c r="E13" i="15"/>
  <c r="D13" i="15"/>
  <c r="E11" i="16"/>
  <c r="D11" i="16"/>
  <c r="C11" i="16"/>
  <c r="B11" i="16"/>
  <c r="F10" i="16"/>
  <c r="F9" i="16"/>
  <c r="F8" i="16"/>
  <c r="F7" i="16"/>
  <c r="G4" i="17"/>
  <c r="G5" i="17"/>
  <c r="G6" i="17"/>
  <c r="G10" i="17"/>
  <c r="G7" i="17"/>
  <c r="G8" i="17"/>
  <c r="G9" i="17"/>
  <c r="F4" i="17"/>
  <c r="F5" i="17"/>
  <c r="F10" i="17" s="1"/>
  <c r="F6" i="17"/>
  <c r="F7" i="17"/>
  <c r="F8" i="17"/>
  <c r="F9" i="17"/>
  <c r="E10" i="17"/>
  <c r="D10" i="17"/>
  <c r="K13" i="10" l="1"/>
</calcChain>
</file>

<file path=xl/sharedStrings.xml><?xml version="1.0" encoding="utf-8"?>
<sst xmlns="http://schemas.openxmlformats.org/spreadsheetml/2006/main" count="188" uniqueCount="101">
  <si>
    <t>Montag</t>
  </si>
  <si>
    <t>Dienstag</t>
  </si>
  <si>
    <t>Mittwoch</t>
  </si>
  <si>
    <t>Donnerstag</t>
  </si>
  <si>
    <t>Freitag</t>
  </si>
  <si>
    <t>Samstag</t>
  </si>
  <si>
    <t>Filialumsätze</t>
  </si>
  <si>
    <t>Filiale 1</t>
  </si>
  <si>
    <t>Filiale 2</t>
  </si>
  <si>
    <t>Filiale 3</t>
  </si>
  <si>
    <t>Filiale 4</t>
  </si>
  <si>
    <t>Summe</t>
  </si>
  <si>
    <t>Quartal 1</t>
  </si>
  <si>
    <t>Quartal 2</t>
  </si>
  <si>
    <t>Quartal 3</t>
  </si>
  <si>
    <t>Quartal 4</t>
  </si>
  <si>
    <t>Verkäuferanalyse</t>
  </si>
  <si>
    <t>Wochentag</t>
  </si>
  <si>
    <t>Umsatz (€)</t>
  </si>
  <si>
    <t>Kundenzahl</t>
  </si>
  <si>
    <t>durchschnittlicher Umatz pro Kunde (€)</t>
  </si>
  <si>
    <t>Provision (€)</t>
  </si>
  <si>
    <t>Gesamt</t>
  </si>
  <si>
    <t>Kraftstoffverbrauch</t>
  </si>
  <si>
    <t>Fahrzeug</t>
  </si>
  <si>
    <t>Tachostand bei Abfahrt (km)</t>
  </si>
  <si>
    <t>Tachostand bei Rückkehr (km)</t>
  </si>
  <si>
    <t>gefahrene km</t>
  </si>
  <si>
    <t>Nachfüllmenge bei Rückkehr (l)</t>
  </si>
  <si>
    <t>Verbrauch auf 100 km (l)</t>
  </si>
  <si>
    <t>Filialkosten</t>
  </si>
  <si>
    <t>Standort</t>
  </si>
  <si>
    <t>Mietkosten/Monat</t>
  </si>
  <si>
    <t>Mietkosten/Jahr</t>
  </si>
  <si>
    <t>Nebenkosten/Jahr</t>
  </si>
  <si>
    <t>Gesamtkosten/Jahr</t>
  </si>
  <si>
    <t>Berlin</t>
  </si>
  <si>
    <t>Bremen</t>
  </si>
  <si>
    <t>Dortmund</t>
  </si>
  <si>
    <t>Frankfurt</t>
  </si>
  <si>
    <t>Hamburg</t>
  </si>
  <si>
    <t>Leipzig</t>
  </si>
  <si>
    <t>Lüdenscheid</t>
  </si>
  <si>
    <t>Stuttgart</t>
  </si>
  <si>
    <t>Gesamt:</t>
  </si>
  <si>
    <t>Lagerbestände</t>
  </si>
  <si>
    <t>Art.-Nr.</t>
  </si>
  <si>
    <t>Artikelbezeichnung</t>
  </si>
  <si>
    <t>Anfangsbestand</t>
  </si>
  <si>
    <t>Zugänge</t>
  </si>
  <si>
    <t>Abgänge</t>
  </si>
  <si>
    <t>aktueller Lagerbestand</t>
  </si>
  <si>
    <t>Grundstückskauf</t>
  </si>
  <si>
    <t>Angebot Nr.</t>
  </si>
  <si>
    <t>Länge (m)</t>
  </si>
  <si>
    <t xml:space="preserve">Breite (m) </t>
  </si>
  <si>
    <t>Umfang (m)</t>
  </si>
  <si>
    <t>gesamte Größe (m²)</t>
  </si>
  <si>
    <t>Kaufpreis (€)</t>
  </si>
  <si>
    <t>Preis pro m² (€)</t>
  </si>
  <si>
    <t>Gehaltsermittlung</t>
  </si>
  <si>
    <t>Name</t>
  </si>
  <si>
    <t>Brutto-gehalt</t>
  </si>
  <si>
    <t>Lohn-steuer</t>
  </si>
  <si>
    <t>Solidaritäts-zuschlag</t>
  </si>
  <si>
    <t>Kirchen-steuer</t>
  </si>
  <si>
    <t>Renten-versicherung AN-Anteil</t>
  </si>
  <si>
    <t>Kranken-versicherung AN-Anteil</t>
  </si>
  <si>
    <t>Pflege-versicherung AN-Anteil</t>
  </si>
  <si>
    <t>Arbeitslosen-versicherung AN-Anteil</t>
  </si>
  <si>
    <t>Abzüge insgesamt</t>
  </si>
  <si>
    <t>Abzüge in % vom Bruttogehalt</t>
  </si>
  <si>
    <t>Netto-gehalt</t>
  </si>
  <si>
    <t>Wolf</t>
  </si>
  <si>
    <t>Alt</t>
  </si>
  <si>
    <t>Wild</t>
  </si>
  <si>
    <t>Voss</t>
  </si>
  <si>
    <t>MK-PC 1111</t>
  </si>
  <si>
    <t>MK-PC 1112</t>
  </si>
  <si>
    <t>MK-PC 1113</t>
  </si>
  <si>
    <t>MK-PC 1114</t>
  </si>
  <si>
    <t>Wochenveranstaltungen im Konzertsaal</t>
  </si>
  <si>
    <t>Veranstaltung</t>
  </si>
  <si>
    <t>Preis pro Karte</t>
  </si>
  <si>
    <t>Karten insgesamt</t>
  </si>
  <si>
    <t>verkaufte Karten</t>
  </si>
  <si>
    <t>freie Plätze</t>
  </si>
  <si>
    <t>Umsatz</t>
  </si>
  <si>
    <t>Klassik 1</t>
  </si>
  <si>
    <t>Klassik 2</t>
  </si>
  <si>
    <t>Pop 1</t>
  </si>
  <si>
    <t>Pop 2</t>
  </si>
  <si>
    <t>Rock 1</t>
  </si>
  <si>
    <t>Rock 2</t>
  </si>
  <si>
    <t>Summen:</t>
  </si>
  <si>
    <t>München</t>
  </si>
  <si>
    <t>Wheel-Maus</t>
  </si>
  <si>
    <t>Turbo-Maus</t>
  </si>
  <si>
    <t>Optische Maus</t>
  </si>
  <si>
    <t>Design-Maus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</si>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</sst>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-1]_-;\-* #,##0.00\ [$€-1]_-;_-* &quot;-&quot;??\ [$€-1]_-"/>
    <numFmt numFmtId="165" formatCode="#,##0.00\ [$€-1]"/>
    <numFmt numFmtId="166" formatCode="#,##0\ &quot;DM&quot;;[Red]\-#,##0\ &quot;DM&quot;"/>
    <numFmt numFmtId="167" formatCode="#,##0.00\ [$€-1];\-#,##0.00\ [$€-1]"/>
    <numFmt numFmtId="168" formatCode="_-* #,##0.00\ [$€-407]_-;\-* #,##0.00\ [$€-407]_-;_-* &quot;-&quot;??\ [$€-407]_-;_-@_-"/>
    <numFmt numFmtId="169" formatCode="0.00_ ;\-0.00\ "/>
  </numFmts>
  <fonts count="14" x14ac:knownFonts="1">
    <font>
      <sz val="10"/>
      <name val="Arial"/>
    </font>
    <font>
      <sz val="10"/>
      <name val="Arial"/>
    </font>
    <font>
      <b/>
      <i/>
      <u/>
      <sz val="10"/>
      <name val="Arial"/>
      <family val="2"/>
    </font>
    <font>
      <b/>
      <sz val="10"/>
      <name val="Arial"/>
      <family val="2"/>
    </font>
    <font>
      <sz val="8"/>
      <name val="Arial"/>
    </font>
    <font>
      <b/>
      <u/>
      <sz val="14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Bradley Hand ITC"/>
      <family val="4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4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5">
    <xf numFmtId="0" fontId="0" fillId="0" borderId="0" xfId="0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0" fillId="0" borderId="1" xfId="0" applyFill="1" applyBorder="1"/>
    <xf numFmtId="0" fontId="5" fillId="0" borderId="0" xfId="0" applyFont="1" applyFill="1"/>
    <xf numFmtId="0" fontId="0" fillId="0" borderId="0" xfId="0" applyFill="1" applyBorder="1"/>
    <xf numFmtId="0" fontId="6" fillId="0" borderId="0" xfId="0" applyFont="1" applyFill="1" applyBorder="1"/>
    <xf numFmtId="0" fontId="6" fillId="0" borderId="2" xfId="0" applyFont="1" applyFill="1" applyBorder="1"/>
    <xf numFmtId="0" fontId="8" fillId="0" borderId="0" xfId="0" applyFont="1" applyFill="1" applyBorder="1" applyAlignment="1">
      <alignment horizontal="center"/>
    </xf>
    <xf numFmtId="0" fontId="0" fillId="0" borderId="0" xfId="0" applyBorder="1"/>
    <xf numFmtId="166" fontId="0" fillId="0" borderId="0" xfId="0" applyNumberFormat="1"/>
    <xf numFmtId="0" fontId="8" fillId="0" borderId="0" xfId="0" applyFont="1" applyBorder="1" applyAlignment="1">
      <alignment horizontal="center"/>
    </xf>
    <xf numFmtId="0" fontId="8" fillId="0" borderId="0" xfId="0" applyFont="1" applyBorder="1"/>
    <xf numFmtId="3" fontId="8" fillId="0" borderId="0" xfId="0" applyNumberFormat="1" applyFont="1" applyBorder="1" applyAlignment="1">
      <alignment horizontal="center"/>
    </xf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3" fontId="0" fillId="0" borderId="5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0" fontId="0" fillId="0" borderId="6" xfId="0" applyFill="1" applyBorder="1"/>
    <xf numFmtId="3" fontId="0" fillId="0" borderId="6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0" fontId="3" fillId="0" borderId="6" xfId="0" applyFont="1" applyFill="1" applyBorder="1"/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3" fillId="0" borderId="0" xfId="0" applyFont="1" applyFill="1"/>
    <xf numFmtId="0" fontId="10" fillId="0" borderId="0" xfId="0" applyFont="1" applyFill="1"/>
    <xf numFmtId="0" fontId="3" fillId="0" borderId="7" xfId="0" applyFont="1" applyFill="1" applyBorder="1" applyAlignment="1">
      <alignment horizontal="center"/>
    </xf>
    <xf numFmtId="0" fontId="9" fillId="0" borderId="8" xfId="0" applyFont="1" applyFill="1" applyBorder="1"/>
    <xf numFmtId="4" fontId="0" fillId="0" borderId="8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9" fillId="0" borderId="9" xfId="0" applyFont="1" applyFill="1" applyBorder="1"/>
    <xf numFmtId="4" fontId="0" fillId="0" borderId="9" xfId="0" applyNumberForma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9" fillId="0" borderId="10" xfId="0" applyFont="1" applyFill="1" applyBorder="1"/>
    <xf numFmtId="4" fontId="0" fillId="0" borderId="10" xfId="0" applyNumberForma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3" fillId="0" borderId="7" xfId="0" applyFont="1" applyFill="1" applyBorder="1"/>
    <xf numFmtId="4" fontId="3" fillId="0" borderId="7" xfId="0" applyNumberFormat="1" applyFont="1" applyFill="1" applyBorder="1" applyAlignment="1">
      <alignment horizontal="center"/>
    </xf>
    <xf numFmtId="3" fontId="3" fillId="0" borderId="7" xfId="0" applyNumberFormat="1" applyFont="1" applyFill="1" applyBorder="1" applyAlignment="1">
      <alignment horizontal="center"/>
    </xf>
    <xf numFmtId="0" fontId="3" fillId="0" borderId="3" xfId="0" applyFont="1" applyFill="1" applyBorder="1"/>
    <xf numFmtId="0" fontId="3" fillId="0" borderId="1" xfId="0" applyFont="1" applyFill="1" applyBorder="1"/>
    <xf numFmtId="0" fontId="3" fillId="0" borderId="4" xfId="0" applyFont="1" applyFill="1" applyBorder="1"/>
    <xf numFmtId="165" fontId="0" fillId="0" borderId="5" xfId="0" applyNumberFormat="1" applyFill="1" applyBorder="1" applyAlignment="1">
      <alignment horizontal="center"/>
    </xf>
    <xf numFmtId="167" fontId="0" fillId="0" borderId="5" xfId="1" applyNumberFormat="1" applyFont="1" applyFill="1" applyBorder="1" applyAlignment="1">
      <alignment horizontal="center" vertical="center"/>
    </xf>
    <xf numFmtId="165" fontId="0" fillId="0" borderId="6" xfId="0" applyNumberFormat="1" applyFill="1" applyBorder="1" applyAlignment="1">
      <alignment horizontal="center"/>
    </xf>
    <xf numFmtId="167" fontId="0" fillId="0" borderId="6" xfId="1" applyNumberFormat="1" applyFont="1" applyFill="1" applyBorder="1" applyAlignment="1">
      <alignment horizontal="center" vertical="center"/>
    </xf>
    <xf numFmtId="0" fontId="0" fillId="0" borderId="11" xfId="0" applyFill="1" applyBorder="1"/>
    <xf numFmtId="165" fontId="0" fillId="0" borderId="11" xfId="0" applyNumberFormat="1" applyFill="1" applyBorder="1" applyAlignment="1">
      <alignment horizontal="center"/>
    </xf>
    <xf numFmtId="167" fontId="0" fillId="0" borderId="11" xfId="1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12" fillId="0" borderId="0" xfId="0" applyFont="1" applyFill="1"/>
    <xf numFmtId="0" fontId="0" fillId="0" borderId="0" xfId="0" applyFill="1" applyAlignment="1">
      <alignment wrapText="1"/>
    </xf>
    <xf numFmtId="0" fontId="3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" fontId="0" fillId="0" borderId="6" xfId="0" applyNumberFormat="1" applyFill="1" applyBorder="1"/>
    <xf numFmtId="0" fontId="2" fillId="0" borderId="0" xfId="0" applyFont="1"/>
    <xf numFmtId="0" fontId="0" fillId="0" borderId="12" xfId="0" applyBorder="1"/>
    <xf numFmtId="0" fontId="3" fillId="0" borderId="6" xfId="0" applyFont="1" applyBorder="1" applyAlignment="1">
      <alignment horizontal="center"/>
    </xf>
    <xf numFmtId="0" fontId="3" fillId="0" borderId="0" xfId="0" applyFont="1"/>
    <xf numFmtId="0" fontId="0" fillId="0" borderId="11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3" xfId="1" applyNumberFormat="1" applyFont="1" applyBorder="1" applyAlignment="1">
      <alignment horizontal="center"/>
    </xf>
    <xf numFmtId="0" fontId="0" fillId="0" borderId="11" xfId="1" applyNumberFormat="1" applyFont="1" applyBorder="1" applyAlignment="1">
      <alignment horizontal="center"/>
    </xf>
    <xf numFmtId="165" fontId="0" fillId="0" borderId="11" xfId="0" applyNumberFormat="1" applyBorder="1"/>
    <xf numFmtId="0" fontId="0" fillId="0" borderId="14" xfId="0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0" fontId="0" fillId="0" borderId="14" xfId="1" applyNumberFormat="1" applyFont="1" applyBorder="1" applyAlignment="1">
      <alignment horizontal="center"/>
    </xf>
    <xf numFmtId="165" fontId="0" fillId="0" borderId="14" xfId="0" applyNumberFormat="1" applyBorder="1"/>
    <xf numFmtId="0" fontId="3" fillId="0" borderId="0" xfId="0" applyFont="1" applyBorder="1"/>
    <xf numFmtId="165" fontId="0" fillId="0" borderId="0" xfId="0" applyNumberFormat="1" applyBorder="1" applyAlignment="1">
      <alignment horizontal="center"/>
    </xf>
    <xf numFmtId="0" fontId="3" fillId="0" borderId="6" xfId="0" applyFont="1" applyBorder="1"/>
    <xf numFmtId="0" fontId="0" fillId="0" borderId="15" xfId="0" applyBorder="1"/>
    <xf numFmtId="0" fontId="0" fillId="0" borderId="16" xfId="0" applyBorder="1"/>
    <xf numFmtId="0" fontId="0" fillId="0" borderId="6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1" applyNumberFormat="1" applyFont="1" applyFill="1" applyBorder="1" applyAlignment="1">
      <alignment horizontal="center"/>
    </xf>
    <xf numFmtId="165" fontId="0" fillId="0" borderId="6" xfId="0" applyNumberFormat="1" applyBorder="1" applyAlignment="1">
      <alignment horizontal="right"/>
    </xf>
    <xf numFmtId="0" fontId="7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3" fontId="6" fillId="0" borderId="17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3" fontId="6" fillId="0" borderId="1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9" fillId="0" borderId="5" xfId="0" applyFont="1" applyBorder="1"/>
    <xf numFmtId="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6" xfId="0" applyFont="1" applyBorder="1"/>
    <xf numFmtId="4" fontId="0" fillId="0" borderId="6" xfId="0" applyNumberFormat="1" applyBorder="1" applyAlignment="1">
      <alignment horizontal="center"/>
    </xf>
    <xf numFmtId="0" fontId="9" fillId="0" borderId="11" xfId="0" applyFont="1" applyBorder="1"/>
    <xf numFmtId="4" fontId="0" fillId="0" borderId="11" xfId="0" applyNumberFormat="1" applyBorder="1" applyAlignment="1">
      <alignment horizontal="center"/>
    </xf>
    <xf numFmtId="0" fontId="3" fillId="0" borderId="3" xfId="0" applyFont="1" applyBorder="1"/>
    <xf numFmtId="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3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/>
    <xf numFmtId="3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3" fillId="0" borderId="1" xfId="0" applyFont="1" applyBorder="1"/>
    <xf numFmtId="0" fontId="3" fillId="0" borderId="4" xfId="0" applyFont="1" applyBorder="1"/>
    <xf numFmtId="165" fontId="0" fillId="0" borderId="5" xfId="0" applyNumberFormat="1" applyBorder="1" applyAlignment="1">
      <alignment horizontal="center"/>
    </xf>
    <xf numFmtId="165" fontId="0" fillId="0" borderId="5" xfId="1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/>
    </xf>
    <xf numFmtId="165" fontId="0" fillId="0" borderId="6" xfId="1" applyNumberFormat="1" applyFont="1" applyBorder="1" applyAlignment="1">
      <alignment horizontal="center" vertical="center"/>
    </xf>
    <xf numFmtId="0" fontId="0" fillId="0" borderId="11" xfId="0" applyBorder="1"/>
    <xf numFmtId="165" fontId="0" fillId="0" borderId="11" xfId="0" applyNumberFormat="1" applyBorder="1" applyAlignment="1">
      <alignment horizontal="center"/>
    </xf>
    <xf numFmtId="165" fontId="0" fillId="0" borderId="11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4" fontId="0" fillId="0" borderId="6" xfId="0" applyNumberFormat="1" applyBorder="1"/>
    <xf numFmtId="0" fontId="0" fillId="0" borderId="0" xfId="0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0" borderId="0" xfId="0" applyProtection="1"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165" fontId="0" fillId="0" borderId="0" xfId="0" applyNumberFormat="1" applyFill="1" applyBorder="1" applyAlignment="1" applyProtection="1">
      <alignment horizontal="center"/>
      <protection locked="0"/>
    </xf>
    <xf numFmtId="0" fontId="9" fillId="0" borderId="0" xfId="0" applyFont="1" applyProtection="1"/>
    <xf numFmtId="0" fontId="9" fillId="0" borderId="0" xfId="0" applyFont="1" applyFill="1" applyBorder="1" applyProtection="1">
      <protection locked="0"/>
    </xf>
    <xf numFmtId="0" fontId="7" fillId="0" borderId="6" xfId="0" applyFont="1" applyFill="1" applyBorder="1" applyAlignment="1">
      <alignment horizontal="center"/>
    </xf>
    <xf numFmtId="168" fontId="0" fillId="0" borderId="8" xfId="0" applyNumberFormat="1" applyFill="1" applyBorder="1" applyAlignment="1"/>
    <xf numFmtId="168" fontId="3" fillId="0" borderId="7" xfId="0" applyNumberFormat="1" applyFont="1" applyFill="1" applyBorder="1" applyAlignment="1"/>
    <xf numFmtId="44" fontId="0" fillId="0" borderId="8" xfId="4" applyFont="1" applyFill="1" applyBorder="1" applyAlignment="1">
      <alignment horizontal="center"/>
    </xf>
    <xf numFmtId="44" fontId="3" fillId="0" borderId="7" xfId="4" applyFont="1" applyFill="1" applyBorder="1" applyAlignment="1">
      <alignment horizontal="center"/>
    </xf>
    <xf numFmtId="165" fontId="0" fillId="0" borderId="1" xfId="0" applyNumberFormat="1" applyFill="1" applyBorder="1"/>
    <xf numFmtId="167" fontId="0" fillId="0" borderId="1" xfId="0" applyNumberFormat="1" applyFill="1" applyBorder="1"/>
    <xf numFmtId="165" fontId="0" fillId="0" borderId="4" xfId="0" applyNumberFormat="1" applyFill="1" applyBorder="1"/>
    <xf numFmtId="0" fontId="9" fillId="0" borderId="6" xfId="0" applyFont="1" applyFill="1" applyBorder="1"/>
    <xf numFmtId="44" fontId="0" fillId="0" borderId="5" xfId="4" applyFont="1" applyFill="1" applyBorder="1" applyAlignment="1">
      <alignment horizontal="center"/>
    </xf>
    <xf numFmtId="44" fontId="0" fillId="0" borderId="6" xfId="4" applyFont="1" applyFill="1" applyBorder="1" applyAlignment="1">
      <alignment horizontal="center"/>
    </xf>
    <xf numFmtId="9" fontId="0" fillId="0" borderId="6" xfId="3" applyFont="1" applyFill="1" applyBorder="1"/>
    <xf numFmtId="169" fontId="6" fillId="0" borderId="6" xfId="2" applyNumberFormat="1" applyFont="1" applyFill="1" applyBorder="1" applyAlignment="1">
      <alignment horizontal="center"/>
    </xf>
    <xf numFmtId="169" fontId="6" fillId="0" borderId="6" xfId="2" applyNumberFormat="1" applyFont="1" applyFill="1" applyBorder="1"/>
    <xf numFmtId="0" fontId="0" fillId="0" borderId="0" xfId="0" applyBorder="1" applyProtection="1">
      <protection locked="0"/>
    </xf>
  </cellXfs>
  <cellStyles count="5">
    <cellStyle name="Euro" xfId="1" xr:uid="{00000000-0005-0000-0000-000000000000}"/>
    <cellStyle name="Komma" xfId="2" builtinId="3"/>
    <cellStyle name="Prozent" xfId="3" builtinId="5"/>
    <cellStyle name="Standard" xfId="0" builtinId="0"/>
    <cellStyle name="Währung" xfId="4" builtinId="4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w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w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w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9525</xdr:rowOff>
    </xdr:from>
    <xdr:to>
      <xdr:col>7</xdr:col>
      <xdr:colOff>371475</xdr:colOff>
      <xdr:row>23</xdr:row>
      <xdr:rowOff>104775</xdr:rowOff>
    </xdr:to>
    <xdr:pic>
      <xdr:nvPicPr>
        <xdr:cNvPr id="1078" name="Picture 3">
          <a:extLst>
            <a:ext uri="{FF2B5EF4-FFF2-40B4-BE49-F238E27FC236}">
              <a16:creationId xmlns:a16="http://schemas.microsoft.com/office/drawing/2014/main" id="{797B67B5-1F05-4797-AFF0-833305D0A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25" r="17383" b="58723"/>
        <a:stretch>
          <a:fillRect/>
        </a:stretch>
      </xdr:blipFill>
      <xdr:spPr bwMode="auto">
        <a:xfrm>
          <a:off x="0" y="1952625"/>
          <a:ext cx="8058150" cy="1876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9525</xdr:rowOff>
    </xdr:from>
    <xdr:to>
      <xdr:col>7</xdr:col>
      <xdr:colOff>285750</xdr:colOff>
      <xdr:row>40</xdr:row>
      <xdr:rowOff>47625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D42AD239-AAAD-4224-B2CF-20CDBB5C28E3}"/>
            </a:ext>
          </a:extLst>
        </xdr:cNvPr>
        <xdr:cNvSpPr txBox="1">
          <a:spLocks noChangeArrowheads="1"/>
        </xdr:cNvSpPr>
      </xdr:nvSpPr>
      <xdr:spPr bwMode="auto">
        <a:xfrm>
          <a:off x="0" y="3895725"/>
          <a:ext cx="7972425" cy="2628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Entwickeln Sie ein Auswertungsprogramm für eine Veranstaltungshalle.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1.   Erstellen Sie die abgebildete Tabelle mit den entsprechenden Formatierungen.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2.  Ermitteln Sie durch geeignete Formeln die noch freien Plätze für die einzelnen Veranstaltungen.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3.  Ermitteln Sie durch geeignete Formeln den Umsatz für die einzelnen Veranstaltungen.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4.  Ermitteln Sie durch geeignete Formeln die Summen für Karten insgesamt, verkaufte Karten, freie Plätze   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und Umsatz.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142875</xdr:colOff>
      <xdr:row>24</xdr:row>
      <xdr:rowOff>142875</xdr:rowOff>
    </xdr:from>
    <xdr:to>
      <xdr:col>6</xdr:col>
      <xdr:colOff>314325</xdr:colOff>
      <xdr:row>30</xdr:row>
      <xdr:rowOff>95250</xdr:rowOff>
    </xdr:to>
    <xdr:pic>
      <xdr:nvPicPr>
        <xdr:cNvPr id="1080" name="Picture 5" descr="EN00508_">
          <a:extLst>
            <a:ext uri="{FF2B5EF4-FFF2-40B4-BE49-F238E27FC236}">
              <a16:creationId xmlns:a16="http://schemas.microsoft.com/office/drawing/2014/main" id="{7F77671F-AE8F-4473-920C-8CECB2158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4029075"/>
          <a:ext cx="9334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0</xdr:row>
      <xdr:rowOff>9525</xdr:rowOff>
    </xdr:from>
    <xdr:to>
      <xdr:col>4</xdr:col>
      <xdr:colOff>647700</xdr:colOff>
      <xdr:row>4</xdr:row>
      <xdr:rowOff>104775</xdr:rowOff>
    </xdr:to>
    <xdr:pic>
      <xdr:nvPicPr>
        <xdr:cNvPr id="2105" name="Picture 2" descr="BD06131_">
          <a:extLst>
            <a:ext uri="{FF2B5EF4-FFF2-40B4-BE49-F238E27FC236}">
              <a16:creationId xmlns:a16="http://schemas.microsoft.com/office/drawing/2014/main" id="{60D82E7F-EF14-4267-A00A-B7AF0EFD2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9525"/>
          <a:ext cx="7239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333375</xdr:colOff>
      <xdr:row>34</xdr:row>
      <xdr:rowOff>142875</xdr:rowOff>
    </xdr:from>
    <xdr:to>
      <xdr:col>2</xdr:col>
      <xdr:colOff>419100</xdr:colOff>
      <xdr:row>36</xdr:row>
      <xdr:rowOff>38100</xdr:rowOff>
    </xdr:to>
    <xdr:sp macro="" textlink="">
      <xdr:nvSpPr>
        <xdr:cNvPr id="2106" name="Rectangle 4">
          <a:extLst>
            <a:ext uri="{FF2B5EF4-FFF2-40B4-BE49-F238E27FC236}">
              <a16:creationId xmlns:a16="http://schemas.microsoft.com/office/drawing/2014/main" id="{CE282366-A731-4A12-8CCC-19238B36AF0D}"/>
            </a:ext>
          </a:extLst>
        </xdr:cNvPr>
        <xdr:cNvSpPr>
          <a:spLocks noChangeArrowheads="1"/>
        </xdr:cNvSpPr>
      </xdr:nvSpPr>
      <xdr:spPr bwMode="auto">
        <a:xfrm>
          <a:off x="1095375" y="5791200"/>
          <a:ext cx="8477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8</xdr:col>
      <xdr:colOff>304800</xdr:colOff>
      <xdr:row>28</xdr:row>
      <xdr:rowOff>142875</xdr:rowOff>
    </xdr:to>
    <xdr:sp macro="" textlink="">
      <xdr:nvSpPr>
        <xdr:cNvPr id="2055" name="Text Box 7">
          <a:extLst>
            <a:ext uri="{FF2B5EF4-FFF2-40B4-BE49-F238E27FC236}">
              <a16:creationId xmlns:a16="http://schemas.microsoft.com/office/drawing/2014/main" id="{AAC8CD62-59FF-48F3-A957-CA57F832951F}"/>
            </a:ext>
          </a:extLst>
        </xdr:cNvPr>
        <xdr:cNvSpPr txBox="1">
          <a:spLocks noChangeArrowheads="1"/>
        </xdr:cNvSpPr>
      </xdr:nvSpPr>
      <xdr:spPr bwMode="auto">
        <a:xfrm>
          <a:off x="0" y="2009775"/>
          <a:ext cx="6410325" cy="2733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Der Bezirksleiter der Einzelhandelsunternehmensgruppe "Superkauf" hat auf einem Notizzettel die folgenden Quartalsumsätze für seine vier Filialen notiert.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Die Geschäftsleitung von Superkauf beauftragt Sie, diese Daten mit Excel für statistische Auswertungen aufzubereiten.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Gehen Sie bitte wie folgt vor: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1. Erstellen Sie für die Zelle B11 eine einfache Formel zur Berechnung der Summe.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2. Kopieren Sie diese Formel mit dem Ausfüllkästchen in die Zellen C11 bis E 11.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3. Erstellen Sie für die Zelle F7 eine einfache Formel zur Berechnung der Summe.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4. Kopieren Sie diese Formel mit dem Ausfüllkästchen in die Zellen F8 bis F10.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5. Verändern Sie die Werte in den Zellen B7 bis E10 und beobachten Sie, wie sich die Summen verändern.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6. Markieren Sie den Bereich von B7 bis F11.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7. Formatieren Sie die Zellen in der Kategorie Zahl mit 1000.er-Trennzeichen. Dezimalstellen sollen nicht angezeigt 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werden.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8. Betrachten Sie die Änderung in Ihrer Tabelle.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9. Gestalten Sie die Tabelle mit einem Rahmen. 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123825</xdr:rowOff>
    </xdr:from>
    <xdr:to>
      <xdr:col>4</xdr:col>
      <xdr:colOff>923925</xdr:colOff>
      <xdr:row>10</xdr:row>
      <xdr:rowOff>76200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DF4932AD-575E-4E28-B33B-AEC16442B77B}"/>
            </a:ext>
          </a:extLst>
        </xdr:cNvPr>
        <xdr:cNvSpPr txBox="1">
          <a:spLocks noChangeArrowheads="1"/>
        </xdr:cNvSpPr>
      </xdr:nvSpPr>
      <xdr:spPr bwMode="auto">
        <a:xfrm>
          <a:off x="19050" y="514350"/>
          <a:ext cx="5781675" cy="131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In einem Computershop werden die Tagesumsätze und Kundenzahlen des Verkaufspersonals wöchentlich erfasst und ausgewertet.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Diese Auswertung bildet die Grundlage für die Berechnung einer Verkaufsprovision für die einzelnen Verkäufer. Die Verkäufer erhalten dabei auf den getätigten Umsatz eine Provision von 2%.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Für den Verkäufer Manfred Richter werden folgende Umsätze und Kundenzahlen ermittelt:</a:t>
          </a:r>
        </a:p>
      </xdr:txBody>
    </xdr:sp>
    <xdr:clientData/>
  </xdr:twoCellAnchor>
  <xdr:twoCellAnchor editAs="oneCell">
    <xdr:from>
      <xdr:col>3</xdr:col>
      <xdr:colOff>209550</xdr:colOff>
      <xdr:row>0</xdr:row>
      <xdr:rowOff>0</xdr:rowOff>
    </xdr:from>
    <xdr:to>
      <xdr:col>3</xdr:col>
      <xdr:colOff>1343025</xdr:colOff>
      <xdr:row>3</xdr:row>
      <xdr:rowOff>114300</xdr:rowOff>
    </xdr:to>
    <xdr:pic>
      <xdr:nvPicPr>
        <xdr:cNvPr id="3125" name="Picture 1" descr="BD05504_">
          <a:extLst>
            <a:ext uri="{FF2B5EF4-FFF2-40B4-BE49-F238E27FC236}">
              <a16:creationId xmlns:a16="http://schemas.microsoft.com/office/drawing/2014/main" id="{3C668430-4511-4BC5-B189-86F6F3AD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11334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19</xdr:row>
      <xdr:rowOff>114300</xdr:rowOff>
    </xdr:from>
    <xdr:to>
      <xdr:col>5</xdr:col>
      <xdr:colOff>0</xdr:colOff>
      <xdr:row>29</xdr:row>
      <xdr:rowOff>104775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D956C420-9ECD-4775-8A97-BBFC559139CF}"/>
            </a:ext>
          </a:extLst>
        </xdr:cNvPr>
        <xdr:cNvSpPr txBox="1">
          <a:spLocks noChangeArrowheads="1"/>
        </xdr:cNvSpPr>
      </xdr:nvSpPr>
      <xdr:spPr bwMode="auto">
        <a:xfrm>
          <a:off x="19050" y="3362325"/>
          <a:ext cx="5838825" cy="1609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1. Berechnen Sie zunächst in B19 den Gesamtumsatz der Woche und in C19 die gesamte 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Kundenanzahl, die Herr Richter in der Woche bedient hat.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2. Ermitteln Sie in D13 bis D18 für jeden Tag der Woche den durchschnittlichen Umsatz pro Kunde.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3. Ermitteln Sie in D19 den gesamten durchschnittlichen Umsatz pro Woche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4. Berechnen Sie in E13 bis E18 die einzelnen Provisionen pro Tag und in E19 die Gesamtprovision, die 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Herr Richter aufgrund seiner getätigten Umsätze erhält.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104775</xdr:rowOff>
    </xdr:from>
    <xdr:to>
      <xdr:col>6</xdr:col>
      <xdr:colOff>0</xdr:colOff>
      <xdr:row>10</xdr:row>
      <xdr:rowOff>142875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C757E0FE-DD57-4FE8-8F28-1EFD54EBF008}"/>
            </a:ext>
          </a:extLst>
        </xdr:cNvPr>
        <xdr:cNvSpPr txBox="1">
          <a:spLocks noChangeArrowheads="1"/>
        </xdr:cNvSpPr>
      </xdr:nvSpPr>
      <xdr:spPr bwMode="auto">
        <a:xfrm>
          <a:off x="28575" y="333375"/>
          <a:ext cx="8315325" cy="1495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Die Filiale eines Computershops verfügt für die Auslieferung ihrer Waren über vier verschiedene Lieferwagen.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An jedem Abend werden die gefahrenen Kilometer der Auslieferungsfahrten ermittelt und die Lieferfahrzeuge mit Kraftstoff aufgefüllt.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Weiterhin wird ermittelt, wie hoch der Kraftstoffverbrauch der einzelnen Fahrzeuge ist.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Als Auszubildende(r) erhalten Sie die Aufgabe, diese Berechnungen für den heutigen Tag vorzunehmen.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Führen Sie die fehlenden Berechnungen durch.                                                                                                                                                                                                              Ihr Ausbilder stellt Ihnen dafür die folgende Berechnungstabelle zur Verfügung:</a:t>
          </a:r>
          <a:endParaRPr lang="de-DE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1390650</xdr:colOff>
      <xdr:row>0</xdr:row>
      <xdr:rowOff>38100</xdr:rowOff>
    </xdr:from>
    <xdr:to>
      <xdr:col>4</xdr:col>
      <xdr:colOff>295275</xdr:colOff>
      <xdr:row>3</xdr:row>
      <xdr:rowOff>9525</xdr:rowOff>
    </xdr:to>
    <xdr:pic>
      <xdr:nvPicPr>
        <xdr:cNvPr id="4134" name="Picture 4" descr="kombi">
          <a:extLst>
            <a:ext uri="{FF2B5EF4-FFF2-40B4-BE49-F238E27FC236}">
              <a16:creationId xmlns:a16="http://schemas.microsoft.com/office/drawing/2014/main" id="{1EB90C16-41EA-4AD8-A644-E6170DD00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0" y="38100"/>
          <a:ext cx="14382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0</xdr:row>
      <xdr:rowOff>47625</xdr:rowOff>
    </xdr:from>
    <xdr:to>
      <xdr:col>3</xdr:col>
      <xdr:colOff>876300</xdr:colOff>
      <xdr:row>4</xdr:row>
      <xdr:rowOff>133350</xdr:rowOff>
    </xdr:to>
    <xdr:pic>
      <xdr:nvPicPr>
        <xdr:cNvPr id="5155" name="Picture 1" descr="BS02068_">
          <a:extLst>
            <a:ext uri="{FF2B5EF4-FFF2-40B4-BE49-F238E27FC236}">
              <a16:creationId xmlns:a16="http://schemas.microsoft.com/office/drawing/2014/main" id="{1FDBDCB4-4F58-4CEE-8651-A502269C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47625"/>
          <a:ext cx="5524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5</xdr:row>
      <xdr:rowOff>28575</xdr:rowOff>
    </xdr:from>
    <xdr:to>
      <xdr:col>4</xdr:col>
      <xdr:colOff>1209675</xdr:colOff>
      <xdr:row>11</xdr:row>
      <xdr:rowOff>104775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E7E2EC4F-AE4B-4CAE-AEEB-238CB88EDE53}"/>
            </a:ext>
          </a:extLst>
        </xdr:cNvPr>
        <xdr:cNvSpPr txBox="1">
          <a:spLocks noChangeArrowheads="1"/>
        </xdr:cNvSpPr>
      </xdr:nvSpPr>
      <xdr:spPr bwMode="auto">
        <a:xfrm>
          <a:off x="38100" y="904875"/>
          <a:ext cx="5248275" cy="1047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Entwickeln Sie eine Filialkostenabrechnung für die Mietkosten verschiedener Ladenlokale. 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Die Kosten errechnen sich dabei aus den Miet- und den Nebenkosten aller Filialen.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Als Auszubildende(r) eehalten Sie von der Geschäftsleitung die Aufgabe, eine entsprechende Abrechnung zu erstellen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Ihnen liegen dazu die folgenden Zahlen des abgelaufenen Geschäftsjahres vor: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0</xdr:row>
      <xdr:rowOff>95250</xdr:rowOff>
    </xdr:from>
    <xdr:to>
      <xdr:col>3</xdr:col>
      <xdr:colOff>895350</xdr:colOff>
      <xdr:row>3</xdr:row>
      <xdr:rowOff>38100</xdr:rowOff>
    </xdr:to>
    <xdr:pic>
      <xdr:nvPicPr>
        <xdr:cNvPr id="6197" name="Picture 1" descr="AN01125_">
          <a:extLst>
            <a:ext uri="{FF2B5EF4-FFF2-40B4-BE49-F238E27FC236}">
              <a16:creationId xmlns:a16="http://schemas.microsoft.com/office/drawing/2014/main" id="{27E50949-F1CF-4C26-B21A-2EB4AD5B9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8025" y="95250"/>
          <a:ext cx="6191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14</xdr:row>
      <xdr:rowOff>9525</xdr:rowOff>
    </xdr:from>
    <xdr:to>
      <xdr:col>6</xdr:col>
      <xdr:colOff>438150</xdr:colOff>
      <xdr:row>29</xdr:row>
      <xdr:rowOff>0</xdr:rowOff>
    </xdr:to>
    <xdr:sp macro="" textlink="">
      <xdr:nvSpPr>
        <xdr:cNvPr id="6147" name="Text Box 3">
          <a:extLst>
            <a:ext uri="{FF2B5EF4-FFF2-40B4-BE49-F238E27FC236}">
              <a16:creationId xmlns:a16="http://schemas.microsoft.com/office/drawing/2014/main" id="{A8593F9D-4F29-49B6-9986-87EE90DB7A22}"/>
            </a:ext>
          </a:extLst>
        </xdr:cNvPr>
        <xdr:cNvSpPr txBox="1">
          <a:spLocks noChangeArrowheads="1"/>
        </xdr:cNvSpPr>
      </xdr:nvSpPr>
      <xdr:spPr bwMode="auto">
        <a:xfrm>
          <a:off x="28575" y="2343150"/>
          <a:ext cx="5838825" cy="2419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Als Auszubildende(r) erhalten Sie den Auftrag, die Lagerbestände für die Produktsparte "Computermäuse" zu ermitteln.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Sie erhalten von der Lagerverwaltung dazu folgende Informationen: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Art.-Nr. 140111 Wheel-Maus:     Anfangsbestand: 90, Zugänge: 30, Abgänge: 45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Art.-Nr. 140112 Turbo-Maus:      Anfangsbestand: 40, Zugänge:   0, Abgänge: 40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Art.-Nr. 140113 Optische Maus: Anfangsbestand: 65, Zugänge: 25, Abgänge: 45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Art.-Nr. 140114 Design-Maus:    Anfangsbestand: 33, Zugänge: 10; Abgänge:   8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Übertragen Sie die angegebenen Informationen in die Tabelle und berechnen Sie die aktuellen Lagerbestände.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38100</xdr:colOff>
      <xdr:row>4</xdr:row>
      <xdr:rowOff>9525</xdr:rowOff>
    </xdr:from>
    <xdr:to>
      <xdr:col>6</xdr:col>
      <xdr:colOff>419100</xdr:colOff>
      <xdr:row>6</xdr:row>
      <xdr:rowOff>66675</xdr:rowOff>
    </xdr:to>
    <xdr:sp macro="" textlink="">
      <xdr:nvSpPr>
        <xdr:cNvPr id="6148" name="Text Box 4">
          <a:extLst>
            <a:ext uri="{FF2B5EF4-FFF2-40B4-BE49-F238E27FC236}">
              <a16:creationId xmlns:a16="http://schemas.microsoft.com/office/drawing/2014/main" id="{3462905F-4DDF-4553-9F3F-91605518F008}"/>
            </a:ext>
          </a:extLst>
        </xdr:cNvPr>
        <xdr:cNvSpPr txBox="1">
          <a:spLocks noChangeArrowheads="1"/>
        </xdr:cNvSpPr>
      </xdr:nvSpPr>
      <xdr:spPr bwMode="auto">
        <a:xfrm>
          <a:off x="38100" y="723900"/>
          <a:ext cx="581025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Zum Monatsende werden die aktuellen Lagerbestände nach den Unterlagen der Lagerbuchhaltung nach folgender Tabelle ermittelt: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104775</xdr:rowOff>
    </xdr:from>
    <xdr:to>
      <xdr:col>7</xdr:col>
      <xdr:colOff>457200</xdr:colOff>
      <xdr:row>5</xdr:row>
      <xdr:rowOff>104775</xdr:rowOff>
    </xdr:to>
    <xdr:sp macro="" textlink="">
      <xdr:nvSpPr>
        <xdr:cNvPr id="7175" name="Text Box 7">
          <a:extLst>
            <a:ext uri="{FF2B5EF4-FFF2-40B4-BE49-F238E27FC236}">
              <a16:creationId xmlns:a16="http://schemas.microsoft.com/office/drawing/2014/main" id="{80884D97-BD61-4A13-877C-39DC0CFCCA08}"/>
            </a:ext>
          </a:extLst>
        </xdr:cNvPr>
        <xdr:cNvSpPr txBox="1">
          <a:spLocks noChangeArrowheads="1"/>
        </xdr:cNvSpPr>
      </xdr:nvSpPr>
      <xdr:spPr bwMode="auto">
        <a:xfrm>
          <a:off x="28575" y="657225"/>
          <a:ext cx="6448425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Zur Auswertung von Grundstücken verwendet ein Immobilienbüro das folgende kleine Excel-Programm: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4</xdr:col>
      <xdr:colOff>1095375</xdr:colOff>
      <xdr:row>0</xdr:row>
      <xdr:rowOff>38100</xdr:rowOff>
    </xdr:from>
    <xdr:to>
      <xdr:col>6</xdr:col>
      <xdr:colOff>19050</xdr:colOff>
      <xdr:row>3</xdr:row>
      <xdr:rowOff>142875</xdr:rowOff>
    </xdr:to>
    <xdr:pic>
      <xdr:nvPicPr>
        <xdr:cNvPr id="7296" name="Picture 1" descr="BS00676_">
          <a:extLst>
            <a:ext uri="{FF2B5EF4-FFF2-40B4-BE49-F238E27FC236}">
              <a16:creationId xmlns:a16="http://schemas.microsoft.com/office/drawing/2014/main" id="{691C9755-F2F3-46A4-85DA-048538507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"/>
          <a:ext cx="9715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57150</xdr:colOff>
      <xdr:row>15</xdr:row>
      <xdr:rowOff>9525</xdr:rowOff>
    </xdr:from>
    <xdr:to>
      <xdr:col>7</xdr:col>
      <xdr:colOff>447675</xdr:colOff>
      <xdr:row>33</xdr:row>
      <xdr:rowOff>38100</xdr:rowOff>
    </xdr:to>
    <xdr:sp macro="" textlink="">
      <xdr:nvSpPr>
        <xdr:cNvPr id="7177" name="Text Box 9">
          <a:extLst>
            <a:ext uri="{FF2B5EF4-FFF2-40B4-BE49-F238E27FC236}">
              <a16:creationId xmlns:a16="http://schemas.microsoft.com/office/drawing/2014/main" id="{9126F528-62B1-45BC-A03D-2E4B59615153}"/>
            </a:ext>
          </a:extLst>
        </xdr:cNvPr>
        <xdr:cNvSpPr txBox="1">
          <a:spLocks noChangeArrowheads="1"/>
        </xdr:cNvSpPr>
      </xdr:nvSpPr>
      <xdr:spPr bwMode="auto">
        <a:xfrm>
          <a:off x="57150" y="2524125"/>
          <a:ext cx="6410325" cy="2943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Die folgenden vier Grundstücke sollen ausgewertet werden: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Alle vier Grundstücke sind dabei rechteckig. Die Lage der Grundstücke ist gleichwertig.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Ein Kunde möchte das Grundstück mit dem günstigsten Preis-Leistungs-Verhältnis kaufen.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Übertragen Sie die Angebotsdaten in die Tabelle und entwickeln Sie die fehlenden Berechnungsformeln.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209550</xdr:colOff>
      <xdr:row>18</xdr:row>
      <xdr:rowOff>0</xdr:rowOff>
    </xdr:from>
    <xdr:to>
      <xdr:col>2</xdr:col>
      <xdr:colOff>123825</xdr:colOff>
      <xdr:row>26</xdr:row>
      <xdr:rowOff>85725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F694A83E-3CC4-4F69-9F82-44FB220A942A}"/>
            </a:ext>
          </a:extLst>
        </xdr:cNvPr>
        <xdr:cNvSpPr>
          <a:spLocks noChangeArrowheads="1"/>
        </xdr:cNvSpPr>
      </xdr:nvSpPr>
      <xdr:spPr bwMode="auto">
        <a:xfrm>
          <a:off x="209550" y="3000375"/>
          <a:ext cx="1438275" cy="1381125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Angebot 1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Grundstück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Länge: 42,24 (m)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Breite  18,40 (m)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Kaufpreis: 19.430,00€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276225</xdr:colOff>
      <xdr:row>18</xdr:row>
      <xdr:rowOff>0</xdr:rowOff>
    </xdr:from>
    <xdr:to>
      <xdr:col>4</xdr:col>
      <xdr:colOff>171450</xdr:colOff>
      <xdr:row>26</xdr:row>
      <xdr:rowOff>114300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7390B1E1-C4C3-42C4-AAF2-F9CD3EF38339}"/>
            </a:ext>
          </a:extLst>
        </xdr:cNvPr>
        <xdr:cNvSpPr>
          <a:spLocks noChangeArrowheads="1"/>
        </xdr:cNvSpPr>
      </xdr:nvSpPr>
      <xdr:spPr bwMode="auto">
        <a:xfrm>
          <a:off x="1800225" y="3000375"/>
          <a:ext cx="1419225" cy="1409700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Angebot 2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Grundstück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Länge: 37,00 (m)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Breite  21,50 (m)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Kaufpreis: 20.683,00€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</xdr:col>
      <xdr:colOff>323850</xdr:colOff>
      <xdr:row>18</xdr:row>
      <xdr:rowOff>0</xdr:rowOff>
    </xdr:from>
    <xdr:to>
      <xdr:col>5</xdr:col>
      <xdr:colOff>419100</xdr:colOff>
      <xdr:row>26</xdr:row>
      <xdr:rowOff>95250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F026B4E4-865F-4AC4-A06C-28BB14C3245D}"/>
            </a:ext>
          </a:extLst>
        </xdr:cNvPr>
        <xdr:cNvSpPr>
          <a:spLocks noChangeArrowheads="1"/>
        </xdr:cNvSpPr>
      </xdr:nvSpPr>
      <xdr:spPr bwMode="auto">
        <a:xfrm>
          <a:off x="3371850" y="3000375"/>
          <a:ext cx="1352550" cy="1390650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Angebot 3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Grundstück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Länge: 26,50 (m)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Breite  29,00 (m)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Kaufpreis: 20.604,50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571500</xdr:colOff>
      <xdr:row>18</xdr:row>
      <xdr:rowOff>0</xdr:rowOff>
    </xdr:from>
    <xdr:to>
      <xdr:col>7</xdr:col>
      <xdr:colOff>200025</xdr:colOff>
      <xdr:row>26</xdr:row>
      <xdr:rowOff>66675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E8D2F6CC-782C-4C78-8E2D-9C8C5B620902}"/>
            </a:ext>
          </a:extLst>
        </xdr:cNvPr>
        <xdr:cNvSpPr>
          <a:spLocks noChangeArrowheads="1"/>
        </xdr:cNvSpPr>
      </xdr:nvSpPr>
      <xdr:spPr bwMode="auto">
        <a:xfrm>
          <a:off x="4876800" y="3000375"/>
          <a:ext cx="1343025" cy="1362075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Angebot 4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Grundstück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Länge: 30,82 (m)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Breite  23,70 (m)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Kaufpreis: 18.406,00€</a:t>
          </a: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390525</xdr:colOff>
      <xdr:row>0</xdr:row>
      <xdr:rowOff>95250</xdr:rowOff>
    </xdr:from>
    <xdr:to>
      <xdr:col>6</xdr:col>
      <xdr:colOff>371475</xdr:colOff>
      <xdr:row>5</xdr:row>
      <xdr:rowOff>19050</xdr:rowOff>
    </xdr:to>
    <xdr:pic>
      <xdr:nvPicPr>
        <xdr:cNvPr id="8244" name="Picture 1" descr="PE01849_">
          <a:extLst>
            <a:ext uri="{FF2B5EF4-FFF2-40B4-BE49-F238E27FC236}">
              <a16:creationId xmlns:a16="http://schemas.microsoft.com/office/drawing/2014/main" id="{BD35F1E7-E1EA-4A21-911E-B6019D6FD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95250"/>
          <a:ext cx="8096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5</xdr:row>
      <xdr:rowOff>47625</xdr:rowOff>
    </xdr:from>
    <xdr:to>
      <xdr:col>8</xdr:col>
      <xdr:colOff>390525</xdr:colOff>
      <xdr:row>7</xdr:row>
      <xdr:rowOff>28575</xdr:rowOff>
    </xdr:to>
    <xdr:sp macro="" textlink="">
      <xdr:nvSpPr>
        <xdr:cNvPr id="8194" name="Text Box 2">
          <a:extLst>
            <a:ext uri="{FF2B5EF4-FFF2-40B4-BE49-F238E27FC236}">
              <a16:creationId xmlns:a16="http://schemas.microsoft.com/office/drawing/2014/main" id="{961DB69C-2BD3-405B-9C08-CC4E4CC1BA25}"/>
            </a:ext>
          </a:extLst>
        </xdr:cNvPr>
        <xdr:cNvSpPr txBox="1">
          <a:spLocks noChangeArrowheads="1"/>
        </xdr:cNvSpPr>
      </xdr:nvSpPr>
      <xdr:spPr bwMode="auto">
        <a:xfrm>
          <a:off x="28575" y="923925"/>
          <a:ext cx="618172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Der Auszug aus einer Gehaltsliste weist für den Monat September die folgenden Werte aus:</a:t>
          </a:r>
        </a:p>
      </xdr:txBody>
    </xdr:sp>
    <xdr:clientData/>
  </xdr:twoCellAnchor>
  <xdr:twoCellAnchor>
    <xdr:from>
      <xdr:col>0</xdr:col>
      <xdr:colOff>57150</xdr:colOff>
      <xdr:row>14</xdr:row>
      <xdr:rowOff>47625</xdr:rowOff>
    </xdr:from>
    <xdr:to>
      <xdr:col>8</xdr:col>
      <xdr:colOff>571500</xdr:colOff>
      <xdr:row>16</xdr:row>
      <xdr:rowOff>9525</xdr:rowOff>
    </xdr:to>
    <xdr:sp macro="" textlink="">
      <xdr:nvSpPr>
        <xdr:cNvPr id="8195" name="Text Box 3">
          <a:extLst>
            <a:ext uri="{FF2B5EF4-FFF2-40B4-BE49-F238E27FC236}">
              <a16:creationId xmlns:a16="http://schemas.microsoft.com/office/drawing/2014/main" id="{F129DEE6-813D-4AEF-8B9F-234F01D74ABB}"/>
            </a:ext>
          </a:extLst>
        </xdr:cNvPr>
        <xdr:cNvSpPr txBox="1">
          <a:spLocks noChangeArrowheads="1"/>
        </xdr:cNvSpPr>
      </xdr:nvSpPr>
      <xdr:spPr bwMode="auto">
        <a:xfrm>
          <a:off x="57150" y="2905125"/>
          <a:ext cx="6334125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0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Berechnen Sie die fehlenden Werte der Tabelle.</a:t>
          </a:r>
        </a:p>
        <a:p>
          <a:pPr algn="l" rtl="0">
            <a:lnSpc>
              <a:spcPts val="900"/>
            </a:lnSpc>
            <a:defRPr sz="1000"/>
          </a:pPr>
          <a:endParaRPr lang="de-D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2"/>
    <pageSetUpPr fitToPage="1"/>
  </sheetPr>
  <dimension ref="A1:M52"/>
  <sheetViews>
    <sheetView zoomScale="130" zoomScaleNormal="130" workbookViewId="0">
      <selection activeCell="C2" sqref="C1:C2"/>
    </sheetView>
  </sheetViews>
  <sheetFormatPr baseColWidth="10" defaultRowHeight="12.75" x14ac:dyDescent="0.2"/>
  <cols>
    <col min="1" max="1" width="11.42578125" style="133"/>
    <col min="2" max="2" width="13.5703125" style="133" bestFit="1" customWidth="1"/>
    <col min="3" max="3" width="37.28515625" style="133" bestFit="1" customWidth="1"/>
    <col min="4" max="4" width="16.85546875" style="133" bestFit="1" customWidth="1"/>
    <col min="5" max="5" width="16.140625" style="133" bestFit="1" customWidth="1"/>
    <col min="6" max="6" width="11.42578125" style="133"/>
    <col min="7" max="7" width="8.5703125" style="133" customWidth="1"/>
    <col min="8" max="16384" width="11.42578125" style="133"/>
  </cols>
  <sheetData>
    <row r="1" spans="1:13" x14ac:dyDescent="0.2">
      <c r="A1" s="130"/>
      <c r="B1" s="130"/>
      <c r="C1" s="139"/>
      <c r="D1" s="130"/>
      <c r="E1" s="130"/>
      <c r="F1" s="130"/>
      <c r="G1" s="130"/>
      <c r="H1" s="130"/>
      <c r="I1" s="132"/>
      <c r="M1" s="138" t="s">
        <v>100</v>
      </c>
    </row>
    <row r="2" spans="1:13" x14ac:dyDescent="0.2">
      <c r="A2" s="130"/>
      <c r="B2" s="131"/>
      <c r="C2" s="130"/>
      <c r="D2" s="130"/>
      <c r="E2" s="130"/>
      <c r="F2" s="130"/>
      <c r="G2" s="130"/>
      <c r="H2" s="130"/>
      <c r="I2" s="132"/>
    </row>
    <row r="3" spans="1:13" x14ac:dyDescent="0.2">
      <c r="A3" s="130"/>
      <c r="B3" s="134"/>
      <c r="C3" s="134"/>
      <c r="D3" s="134"/>
      <c r="E3" s="134"/>
      <c r="F3" s="134"/>
      <c r="G3" s="134"/>
      <c r="H3" s="130"/>
      <c r="I3" s="132"/>
    </row>
    <row r="4" spans="1:13" x14ac:dyDescent="0.2">
      <c r="A4" s="135"/>
      <c r="B4" s="136"/>
      <c r="C4" s="137"/>
      <c r="D4" s="136"/>
      <c r="E4" s="136"/>
      <c r="F4" s="130"/>
      <c r="G4" s="130"/>
      <c r="H4" s="130"/>
      <c r="I4" s="132"/>
    </row>
    <row r="5" spans="1:13" x14ac:dyDescent="0.2">
      <c r="A5" s="135"/>
      <c r="B5" s="136"/>
      <c r="C5" s="137"/>
      <c r="D5" s="136"/>
      <c r="E5" s="136"/>
      <c r="F5" s="130"/>
      <c r="G5" s="130"/>
      <c r="H5" s="130"/>
      <c r="I5" s="132"/>
    </row>
    <row r="6" spans="1:13" x14ac:dyDescent="0.2">
      <c r="A6" s="135"/>
      <c r="B6" s="136"/>
      <c r="C6" s="137"/>
      <c r="D6" s="136"/>
      <c r="E6" s="136"/>
      <c r="F6" s="130"/>
      <c r="G6" s="130"/>
      <c r="H6" s="130"/>
      <c r="I6" s="132"/>
    </row>
    <row r="7" spans="1:13" x14ac:dyDescent="0.2">
      <c r="A7" s="135"/>
      <c r="B7" s="136"/>
      <c r="C7" s="137"/>
      <c r="D7" s="136"/>
      <c r="E7" s="136"/>
      <c r="F7" s="130"/>
      <c r="G7" s="130"/>
      <c r="H7" s="130"/>
      <c r="I7" s="132"/>
    </row>
    <row r="8" spans="1:13" x14ac:dyDescent="0.2">
      <c r="A8" s="135"/>
      <c r="B8" s="136"/>
      <c r="C8" s="137"/>
      <c r="D8" s="136"/>
      <c r="E8" s="136"/>
      <c r="F8" s="130"/>
      <c r="G8" s="130"/>
      <c r="H8" s="130"/>
      <c r="I8" s="132"/>
    </row>
    <row r="9" spans="1:13" x14ac:dyDescent="0.2">
      <c r="A9" s="135"/>
      <c r="B9" s="136"/>
      <c r="C9" s="137"/>
      <c r="D9" s="136"/>
      <c r="E9" s="136"/>
      <c r="F9" s="130"/>
      <c r="G9" s="130"/>
      <c r="H9" s="130"/>
      <c r="I9" s="132"/>
    </row>
    <row r="10" spans="1:13" x14ac:dyDescent="0.2">
      <c r="A10" s="135"/>
      <c r="B10" s="130"/>
      <c r="C10" s="130"/>
      <c r="D10" s="130"/>
      <c r="E10" s="130"/>
      <c r="F10" s="130"/>
      <c r="G10" s="130"/>
      <c r="H10" s="130"/>
      <c r="I10" s="132"/>
    </row>
    <row r="11" spans="1:13" x14ac:dyDescent="0.2">
      <c r="A11" s="132"/>
      <c r="B11" s="132"/>
      <c r="C11" s="132"/>
      <c r="D11" s="132"/>
      <c r="E11" s="132"/>
      <c r="F11" s="132"/>
      <c r="G11" s="132"/>
      <c r="H11" s="132"/>
      <c r="I11" s="132"/>
    </row>
    <row r="47" spans="2:3" x14ac:dyDescent="0.2">
      <c r="B47" s="154"/>
      <c r="C47" s="154"/>
    </row>
    <row r="48" spans="2:3" x14ac:dyDescent="0.2">
      <c r="B48" s="154"/>
      <c r="C48" s="154"/>
    </row>
    <row r="49" spans="2:3" x14ac:dyDescent="0.2">
      <c r="B49" s="154"/>
      <c r="C49" s="154"/>
    </row>
    <row r="50" spans="2:3" x14ac:dyDescent="0.2">
      <c r="B50" s="154"/>
      <c r="C50" s="154"/>
    </row>
    <row r="51" spans="2:3" x14ac:dyDescent="0.2">
      <c r="B51" s="154"/>
      <c r="C51" s="154"/>
    </row>
    <row r="52" spans="2:3" x14ac:dyDescent="0.2">
      <c r="B52" s="154"/>
      <c r="C52" s="154"/>
    </row>
  </sheetData>
  <sheetProtection password="CA03" sheet="1" formatCells="0" formatColumns="0" formatRows="0" insertColumns="0" insertRows="0" insertHyperlinks="0" deleteColumns="0" deleteRows="0" selectLockedCells="1" sort="0" autoFilter="0" pivotTables="0"/>
  <phoneticPr fontId="4" type="noConversion"/>
  <conditionalFormatting sqref="M1">
    <cfRule type="cellIs" dxfId="0" priority="1" stopIfTrue="1" operator="equal">
      <formula>"MtP"</formula>
    </cfRule>
  </conditionalFormatting>
  <printOptions headings="1" gridLines="1"/>
  <pageMargins left="0.39370078740157483" right="0.39370078740157483" top="0.78740157480314965" bottom="0.78740157480314965" header="0.51181102362204722" footer="0.51181102362204722"/>
  <pageSetup paperSize="9" scale="75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2"/>
  </sheetPr>
  <dimension ref="A1:M43"/>
  <sheetViews>
    <sheetView zoomScale="145" zoomScaleNormal="145" workbookViewId="0">
      <selection activeCell="B11" sqref="B11:E11"/>
    </sheetView>
  </sheetViews>
  <sheetFormatPr baseColWidth="10" defaultRowHeight="12.75" x14ac:dyDescent="0.2"/>
  <cols>
    <col min="4" max="4" width="11.5703125" customWidth="1"/>
  </cols>
  <sheetData>
    <row r="1" spans="1:13" ht="18" x14ac:dyDescent="0.25">
      <c r="A1" s="3"/>
      <c r="B1" s="2"/>
      <c r="C1" s="5" t="s">
        <v>6</v>
      </c>
      <c r="D1" s="2"/>
      <c r="E1" s="2"/>
      <c r="F1" s="2"/>
      <c r="G1" s="2"/>
      <c r="H1" s="2"/>
      <c r="M1" t="str">
        <f>Wochenveranstaltung!M1</f>
        <v>.</v>
      </c>
    </row>
    <row r="2" spans="1:13" x14ac:dyDescent="0.2">
      <c r="A2" s="3"/>
      <c r="B2" s="2"/>
      <c r="C2" s="2"/>
      <c r="D2" s="2"/>
      <c r="E2" s="2"/>
      <c r="F2" s="2"/>
      <c r="G2" s="2"/>
      <c r="H2" s="6"/>
    </row>
    <row r="3" spans="1:13" x14ac:dyDescent="0.2">
      <c r="A3" s="6"/>
      <c r="B3" s="6"/>
      <c r="C3" s="6"/>
      <c r="D3" s="6"/>
      <c r="E3" s="6"/>
      <c r="F3" s="6"/>
      <c r="G3" s="6"/>
      <c r="H3" s="6"/>
    </row>
    <row r="4" spans="1:13" x14ac:dyDescent="0.2">
      <c r="A4" s="2"/>
      <c r="B4" s="7"/>
      <c r="C4" s="7"/>
      <c r="D4" s="7"/>
      <c r="E4" s="7"/>
      <c r="F4" s="7"/>
      <c r="G4" s="7"/>
      <c r="H4" s="6"/>
    </row>
    <row r="5" spans="1:13" x14ac:dyDescent="0.2">
      <c r="A5" s="8"/>
      <c r="B5" s="7"/>
      <c r="C5" s="7"/>
      <c r="D5" s="7"/>
      <c r="E5" s="7"/>
      <c r="F5" s="7"/>
      <c r="G5" s="7"/>
      <c r="H5" s="6"/>
    </row>
    <row r="6" spans="1:13" x14ac:dyDescent="0.2">
      <c r="A6" s="140" t="s">
        <v>6</v>
      </c>
      <c r="B6" s="140" t="s">
        <v>7</v>
      </c>
      <c r="C6" s="140" t="s">
        <v>8</v>
      </c>
      <c r="D6" s="140" t="s">
        <v>9</v>
      </c>
      <c r="E6" s="140" t="s">
        <v>10</v>
      </c>
      <c r="F6" s="140" t="s">
        <v>11</v>
      </c>
      <c r="G6" s="7"/>
      <c r="H6" s="6"/>
    </row>
    <row r="7" spans="1:13" x14ac:dyDescent="0.2">
      <c r="A7" s="140" t="s">
        <v>12</v>
      </c>
      <c r="B7" s="152">
        <v>50000</v>
      </c>
      <c r="C7" s="152">
        <v>30000</v>
      </c>
      <c r="D7" s="152">
        <v>40000</v>
      </c>
      <c r="E7" s="152">
        <v>30000</v>
      </c>
      <c r="F7" s="153"/>
      <c r="G7" s="7"/>
      <c r="H7" s="6"/>
    </row>
    <row r="8" spans="1:13" x14ac:dyDescent="0.2">
      <c r="A8" s="140" t="s">
        <v>13</v>
      </c>
      <c r="B8" s="152">
        <v>90000</v>
      </c>
      <c r="C8" s="152">
        <v>100000</v>
      </c>
      <c r="D8" s="152">
        <v>50000</v>
      </c>
      <c r="E8" s="152">
        <v>40000</v>
      </c>
      <c r="F8" s="153"/>
      <c r="G8" s="7"/>
      <c r="H8" s="6"/>
    </row>
    <row r="9" spans="1:13" x14ac:dyDescent="0.2">
      <c r="A9" s="140" t="s">
        <v>14</v>
      </c>
      <c r="B9" s="152">
        <v>40000</v>
      </c>
      <c r="C9" s="152">
        <v>70000</v>
      </c>
      <c r="D9" s="152">
        <v>50000</v>
      </c>
      <c r="E9" s="152">
        <v>80000</v>
      </c>
      <c r="F9" s="153"/>
      <c r="G9" s="7"/>
      <c r="H9" s="6"/>
    </row>
    <row r="10" spans="1:13" x14ac:dyDescent="0.2">
      <c r="A10" s="140" t="s">
        <v>15</v>
      </c>
      <c r="B10" s="152">
        <v>50000</v>
      </c>
      <c r="C10" s="152">
        <v>65000</v>
      </c>
      <c r="D10" s="152">
        <v>60000</v>
      </c>
      <c r="E10" s="152">
        <v>85000</v>
      </c>
      <c r="F10" s="153"/>
      <c r="G10" s="7"/>
      <c r="H10" s="6"/>
    </row>
    <row r="11" spans="1:13" x14ac:dyDescent="0.2">
      <c r="A11" s="140" t="s">
        <v>11</v>
      </c>
      <c r="B11" s="153"/>
      <c r="C11" s="153"/>
      <c r="D11" s="153"/>
      <c r="E11" s="153"/>
      <c r="F11" s="153"/>
      <c r="G11" s="7"/>
      <c r="H11" s="6"/>
    </row>
    <row r="12" spans="1:13" x14ac:dyDescent="0.2">
      <c r="A12" s="8"/>
      <c r="B12" s="7"/>
      <c r="C12" s="7"/>
      <c r="D12" s="7"/>
      <c r="E12" s="7"/>
      <c r="F12" s="7"/>
      <c r="G12" s="7"/>
      <c r="H12" s="6"/>
    </row>
    <row r="13" spans="1:13" x14ac:dyDescent="0.2">
      <c r="A13" s="1"/>
      <c r="B13" s="1"/>
      <c r="C13" s="1"/>
      <c r="D13" s="1"/>
      <c r="E13" s="1"/>
      <c r="F13" s="1"/>
      <c r="G13" s="1"/>
    </row>
    <row r="24" spans="1:9" x14ac:dyDescent="0.2">
      <c r="H24" s="11"/>
    </row>
    <row r="28" spans="1:9" x14ac:dyDescent="0.2">
      <c r="A28" s="10"/>
      <c r="B28" s="10"/>
      <c r="C28" s="10"/>
      <c r="D28" s="10"/>
      <c r="E28" s="10"/>
      <c r="F28" s="10"/>
      <c r="G28" s="10"/>
      <c r="H28" s="10"/>
      <c r="I28" s="10"/>
    </row>
    <row r="29" spans="1:9" x14ac:dyDescent="0.2">
      <c r="A29" s="10"/>
      <c r="B29" s="10"/>
      <c r="C29" s="10"/>
      <c r="D29" s="10"/>
      <c r="E29" s="10"/>
      <c r="F29" s="10"/>
      <c r="G29" s="10"/>
      <c r="H29" s="10"/>
      <c r="I29" s="10"/>
    </row>
    <row r="30" spans="1:9" ht="14.25" x14ac:dyDescent="0.3">
      <c r="A30" s="10"/>
      <c r="B30" s="12"/>
      <c r="C30" s="10"/>
      <c r="D30" s="10"/>
      <c r="E30" s="10"/>
      <c r="F30" s="10"/>
      <c r="G30" s="10"/>
      <c r="H30" s="10"/>
      <c r="I30" s="10"/>
    </row>
    <row r="31" spans="1:9" x14ac:dyDescent="0.2">
      <c r="A31" s="10"/>
      <c r="B31" s="10"/>
      <c r="C31" s="10"/>
      <c r="D31" s="10"/>
      <c r="E31" s="10"/>
      <c r="F31" s="10"/>
      <c r="G31" s="10"/>
      <c r="H31" s="10"/>
      <c r="I31" s="10"/>
    </row>
    <row r="32" spans="1:9" ht="14.25" x14ac:dyDescent="0.3">
      <c r="A32" s="10"/>
      <c r="B32" s="13"/>
      <c r="C32" s="12"/>
      <c r="D32" s="12"/>
      <c r="E32" s="12"/>
      <c r="F32" s="12"/>
      <c r="G32" s="9"/>
      <c r="H32" s="10"/>
      <c r="I32" s="10"/>
    </row>
    <row r="33" spans="1:9" ht="14.25" x14ac:dyDescent="0.3">
      <c r="A33" s="10"/>
      <c r="B33" s="12"/>
      <c r="C33" s="14"/>
      <c r="D33" s="14"/>
      <c r="E33" s="14"/>
      <c r="F33" s="14"/>
      <c r="G33" s="10"/>
      <c r="H33" s="10"/>
      <c r="I33" s="10"/>
    </row>
    <row r="34" spans="1:9" ht="14.25" x14ac:dyDescent="0.3">
      <c r="A34" s="10"/>
      <c r="B34" s="12"/>
      <c r="C34" s="14"/>
      <c r="D34" s="14"/>
      <c r="E34" s="14"/>
      <c r="F34" s="14"/>
      <c r="G34" s="10"/>
      <c r="H34" s="10"/>
      <c r="I34" s="10"/>
    </row>
    <row r="35" spans="1:9" ht="14.25" x14ac:dyDescent="0.3">
      <c r="A35" s="10"/>
      <c r="B35" s="12"/>
      <c r="C35" s="14"/>
      <c r="D35" s="14"/>
      <c r="E35" s="14"/>
      <c r="F35" s="14"/>
      <c r="G35" s="10"/>
      <c r="H35" s="10"/>
      <c r="I35" s="10"/>
    </row>
    <row r="36" spans="1:9" ht="14.25" x14ac:dyDescent="0.3">
      <c r="A36" s="10"/>
      <c r="B36" s="12"/>
      <c r="C36" s="14"/>
      <c r="D36" s="14"/>
      <c r="E36" s="14"/>
      <c r="F36" s="14"/>
      <c r="G36" s="10"/>
      <c r="H36" s="10"/>
      <c r="I36" s="10"/>
    </row>
    <row r="37" spans="1:9" ht="14.25" x14ac:dyDescent="0.3">
      <c r="A37" s="10"/>
      <c r="B37" s="12"/>
      <c r="C37" s="10"/>
      <c r="D37" s="10"/>
      <c r="E37" s="10"/>
      <c r="F37" s="10"/>
      <c r="G37" s="10"/>
      <c r="H37" s="10"/>
      <c r="I37" s="10"/>
    </row>
    <row r="38" spans="1:9" x14ac:dyDescent="0.2">
      <c r="A38" s="10"/>
      <c r="B38" s="10"/>
      <c r="C38" s="10"/>
      <c r="D38" s="10"/>
      <c r="E38" s="10"/>
      <c r="F38" s="10"/>
      <c r="G38" s="10"/>
      <c r="H38" s="10"/>
      <c r="I38" s="10"/>
    </row>
    <row r="39" spans="1:9" x14ac:dyDescent="0.2">
      <c r="A39" s="10"/>
      <c r="B39" s="10"/>
      <c r="C39" s="10"/>
      <c r="D39" s="10"/>
      <c r="E39" s="10"/>
      <c r="F39" s="10"/>
      <c r="G39" s="10"/>
      <c r="H39" s="10"/>
      <c r="I39" s="10"/>
    </row>
    <row r="40" spans="1:9" x14ac:dyDescent="0.2">
      <c r="A40" s="10"/>
      <c r="B40" s="10"/>
      <c r="C40" s="10"/>
      <c r="D40" s="10"/>
      <c r="E40" s="10"/>
      <c r="F40" s="10"/>
      <c r="G40" s="10"/>
      <c r="H40" s="10"/>
      <c r="I40" s="10"/>
    </row>
    <row r="41" spans="1:9" ht="14.25" x14ac:dyDescent="0.3">
      <c r="A41" s="12"/>
      <c r="B41" s="12"/>
      <c r="C41" s="10"/>
      <c r="D41" s="10"/>
      <c r="E41" s="10"/>
      <c r="F41" s="10"/>
      <c r="G41" s="10"/>
      <c r="H41" s="10"/>
      <c r="I41" s="10"/>
    </row>
    <row r="42" spans="1:9" ht="14.25" x14ac:dyDescent="0.3">
      <c r="A42" s="10"/>
      <c r="B42" s="12"/>
      <c r="C42" s="10"/>
      <c r="D42" s="10"/>
      <c r="E42" s="10"/>
      <c r="F42" s="10"/>
      <c r="G42" s="10"/>
      <c r="H42" s="10"/>
      <c r="I42" s="10"/>
    </row>
    <row r="43" spans="1:9" x14ac:dyDescent="0.2">
      <c r="A43" s="10"/>
      <c r="B43" s="10"/>
      <c r="C43" s="10"/>
      <c r="D43" s="10"/>
      <c r="E43" s="10"/>
      <c r="F43" s="10"/>
      <c r="G43" s="10"/>
      <c r="H43" s="10"/>
      <c r="I43" s="10"/>
    </row>
  </sheetData>
  <phoneticPr fontId="4" type="noConversion"/>
  <printOptions headings="1" gridLines="1"/>
  <pageMargins left="0.39370078740157483" right="0.39370078740157483" top="0.78740157480314965" bottom="0.78740157480314965" header="0.31496062992125984" footer="0.31496062992125984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2"/>
  </sheetPr>
  <dimension ref="A1:M30"/>
  <sheetViews>
    <sheetView topLeftCell="A4" zoomScale="130" zoomScaleNormal="130" workbookViewId="0">
      <selection activeCell="D31" sqref="D31"/>
    </sheetView>
  </sheetViews>
  <sheetFormatPr baseColWidth="10" defaultRowHeight="12.75" x14ac:dyDescent="0.2"/>
  <cols>
    <col min="3" max="3" width="13.42578125" customWidth="1"/>
    <col min="4" max="4" width="36.85546875" bestFit="1" customWidth="1"/>
    <col min="5" max="5" width="14.7109375" customWidth="1"/>
  </cols>
  <sheetData>
    <row r="1" spans="1:13" x14ac:dyDescent="0.2">
      <c r="A1" s="2"/>
      <c r="B1" s="2"/>
      <c r="C1" s="2"/>
      <c r="D1" s="2"/>
      <c r="E1" s="2"/>
      <c r="F1" s="2"/>
    </row>
    <row r="2" spans="1:13" ht="18" x14ac:dyDescent="0.25">
      <c r="A2" s="5" t="s">
        <v>16</v>
      </c>
      <c r="B2" s="2"/>
      <c r="C2" s="2"/>
      <c r="D2" s="2"/>
      <c r="E2" s="2"/>
      <c r="F2" s="2"/>
    </row>
    <row r="3" spans="1:13" ht="18" x14ac:dyDescent="0.25">
      <c r="A3" s="5"/>
      <c r="B3" s="2"/>
      <c r="C3" s="2"/>
      <c r="D3" s="2"/>
      <c r="E3" s="2"/>
      <c r="F3" s="2"/>
    </row>
    <row r="4" spans="1:13" x14ac:dyDescent="0.2">
      <c r="A4" s="2"/>
      <c r="B4" s="2"/>
      <c r="C4" s="2"/>
      <c r="D4" s="2"/>
      <c r="E4" s="2"/>
      <c r="F4" s="2"/>
    </row>
    <row r="5" spans="1:13" x14ac:dyDescent="0.2">
      <c r="A5" s="2"/>
      <c r="B5" s="2"/>
      <c r="C5" s="2"/>
      <c r="D5" s="2"/>
      <c r="E5" s="2"/>
      <c r="F5" s="2"/>
    </row>
    <row r="6" spans="1:13" x14ac:dyDescent="0.2">
      <c r="A6" s="2"/>
      <c r="B6" s="2"/>
      <c r="C6" s="2"/>
      <c r="D6" s="2"/>
      <c r="E6" s="2"/>
      <c r="F6" s="2"/>
    </row>
    <row r="7" spans="1:13" x14ac:dyDescent="0.2">
      <c r="A7" s="2"/>
      <c r="B7" s="2"/>
      <c r="C7" s="2"/>
      <c r="D7" s="2"/>
      <c r="E7" s="2"/>
      <c r="F7" s="2"/>
      <c r="M7" t="str">
        <f>Wochenveranstaltung!M1</f>
        <v>.</v>
      </c>
    </row>
    <row r="8" spans="1:13" x14ac:dyDescent="0.2">
      <c r="A8" s="2"/>
      <c r="B8" s="2"/>
      <c r="C8" s="2"/>
      <c r="D8" s="2"/>
      <c r="E8" s="2"/>
      <c r="F8" s="2"/>
    </row>
    <row r="9" spans="1:13" x14ac:dyDescent="0.2">
      <c r="A9" s="2"/>
      <c r="B9" s="2"/>
      <c r="C9" s="2"/>
      <c r="D9" s="2"/>
      <c r="E9" s="2"/>
      <c r="F9" s="2"/>
    </row>
    <row r="10" spans="1:13" x14ac:dyDescent="0.2">
      <c r="A10" s="2"/>
      <c r="B10" s="2"/>
      <c r="C10" s="2"/>
      <c r="D10" s="2"/>
      <c r="E10" s="2"/>
      <c r="F10" s="2"/>
    </row>
    <row r="11" spans="1:13" ht="13.5" thickBot="1" x14ac:dyDescent="0.25">
      <c r="A11" s="2"/>
      <c r="B11" s="2"/>
      <c r="C11" s="2"/>
      <c r="D11" s="2"/>
      <c r="E11" s="2"/>
      <c r="F11" s="2"/>
    </row>
    <row r="12" spans="1:13" ht="13.5" thickBot="1" x14ac:dyDescent="0.25">
      <c r="A12" s="31" t="s">
        <v>17</v>
      </c>
      <c r="B12" s="31" t="s">
        <v>18</v>
      </c>
      <c r="C12" s="31" t="s">
        <v>19</v>
      </c>
      <c r="D12" s="31" t="s">
        <v>20</v>
      </c>
      <c r="E12" s="31" t="s">
        <v>21</v>
      </c>
      <c r="F12" s="2"/>
    </row>
    <row r="13" spans="1:13" x14ac:dyDescent="0.2">
      <c r="A13" s="32" t="s">
        <v>0</v>
      </c>
      <c r="B13" s="33">
        <v>5600</v>
      </c>
      <c r="C13" s="34">
        <v>12</v>
      </c>
      <c r="D13" s="141"/>
      <c r="E13" s="143"/>
      <c r="F13" s="2"/>
    </row>
    <row r="14" spans="1:13" x14ac:dyDescent="0.2">
      <c r="A14" s="35" t="s">
        <v>1</v>
      </c>
      <c r="B14" s="36">
        <v>3800.7</v>
      </c>
      <c r="C14" s="37">
        <v>10</v>
      </c>
      <c r="D14" s="141"/>
      <c r="E14" s="143"/>
      <c r="F14" s="2"/>
    </row>
    <row r="15" spans="1:13" x14ac:dyDescent="0.2">
      <c r="A15" s="35" t="s">
        <v>2</v>
      </c>
      <c r="B15" s="36">
        <v>6600.75</v>
      </c>
      <c r="C15" s="37">
        <v>15</v>
      </c>
      <c r="D15" s="141"/>
      <c r="E15" s="143"/>
      <c r="F15" s="2"/>
    </row>
    <row r="16" spans="1:13" x14ac:dyDescent="0.2">
      <c r="A16" s="35" t="s">
        <v>3</v>
      </c>
      <c r="B16" s="36">
        <v>10400.799999999999</v>
      </c>
      <c r="C16" s="37">
        <v>20</v>
      </c>
      <c r="D16" s="141"/>
      <c r="E16" s="143"/>
      <c r="F16" s="2"/>
    </row>
    <row r="17" spans="1:6" x14ac:dyDescent="0.2">
      <c r="A17" s="35" t="s">
        <v>4</v>
      </c>
      <c r="B17" s="36">
        <v>5500.8</v>
      </c>
      <c r="C17" s="37">
        <v>14</v>
      </c>
      <c r="D17" s="141"/>
      <c r="E17" s="143"/>
      <c r="F17" s="2"/>
    </row>
    <row r="18" spans="1:6" ht="13.5" thickBot="1" x14ac:dyDescent="0.25">
      <c r="A18" s="38" t="s">
        <v>5</v>
      </c>
      <c r="B18" s="39">
        <v>5385.25</v>
      </c>
      <c r="C18" s="40">
        <v>18</v>
      </c>
      <c r="D18" s="141"/>
      <c r="E18" s="143"/>
      <c r="F18" s="2"/>
    </row>
    <row r="19" spans="1:6" ht="13.5" thickBot="1" x14ac:dyDescent="0.25">
      <c r="A19" s="41" t="s">
        <v>22</v>
      </c>
      <c r="B19" s="42"/>
      <c r="C19" s="43"/>
      <c r="D19" s="142"/>
      <c r="E19" s="144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</sheetData>
  <phoneticPr fontId="4" type="noConversion"/>
  <printOptions headings="1" gridLines="1"/>
  <pageMargins left="0.39370078740157483" right="0.39370078740157483" top="0.78740157480314965" bottom="0.78740157480314965" header="0.31496062992125984" footer="0.31496062992125984"/>
  <pageSetup paperSize="9" orientation="landscape" horizontalDpi="4294967293" vertic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2"/>
  </sheetPr>
  <dimension ref="A1:M28"/>
  <sheetViews>
    <sheetView workbookViewId="0">
      <selection activeCell="E24" sqref="E24"/>
    </sheetView>
  </sheetViews>
  <sheetFormatPr baseColWidth="10" defaultRowHeight="12.75" x14ac:dyDescent="0.2"/>
  <cols>
    <col min="1" max="1" width="14" bestFit="1" customWidth="1"/>
    <col min="2" max="2" width="24.85546875" customWidth="1"/>
    <col min="3" max="3" width="25.85546875" customWidth="1"/>
    <col min="4" max="4" width="12.140625" bestFit="1" customWidth="1"/>
    <col min="5" max="5" width="26.7109375" customWidth="1"/>
    <col min="6" max="6" width="21.5703125" bestFit="1" customWidth="1"/>
  </cols>
  <sheetData>
    <row r="1" spans="1:13" ht="18" x14ac:dyDescent="0.25">
      <c r="A1" s="29" t="s">
        <v>23</v>
      </c>
      <c r="B1" s="2"/>
      <c r="C1" s="5"/>
      <c r="D1" s="2"/>
      <c r="E1" s="2"/>
      <c r="F1" s="2"/>
      <c r="M1" t="str">
        <f>Wochenveranstaltung!M1</f>
        <v>.</v>
      </c>
    </row>
    <row r="2" spans="1:13" x14ac:dyDescent="0.2">
      <c r="A2" s="2"/>
      <c r="B2" s="2"/>
      <c r="C2" s="2"/>
      <c r="D2" s="2"/>
      <c r="E2" s="2"/>
      <c r="F2" s="2"/>
    </row>
    <row r="3" spans="1:13" x14ac:dyDescent="0.2">
      <c r="A3" s="2"/>
      <c r="B3" s="2"/>
      <c r="C3" s="2"/>
      <c r="D3" s="2"/>
      <c r="E3" s="2"/>
      <c r="F3" s="2"/>
    </row>
    <row r="4" spans="1:13" x14ac:dyDescent="0.2">
      <c r="A4" s="2"/>
      <c r="B4" s="2"/>
      <c r="C4" s="2"/>
      <c r="D4" s="2"/>
      <c r="E4" s="2"/>
      <c r="F4" s="2"/>
    </row>
    <row r="5" spans="1:13" x14ac:dyDescent="0.2">
      <c r="A5" s="2"/>
      <c r="B5" s="2"/>
      <c r="C5" s="2"/>
      <c r="D5" s="2"/>
      <c r="E5" s="2"/>
      <c r="F5" s="2"/>
    </row>
    <row r="6" spans="1:13" x14ac:dyDescent="0.2">
      <c r="A6" s="2"/>
      <c r="B6" s="2"/>
      <c r="C6" s="2"/>
      <c r="D6" s="2"/>
      <c r="E6" s="2"/>
      <c r="F6" s="2"/>
    </row>
    <row r="7" spans="1:13" x14ac:dyDescent="0.2">
      <c r="A7" s="2"/>
      <c r="B7" s="2"/>
      <c r="C7" s="2"/>
      <c r="D7" s="2"/>
      <c r="E7" s="2"/>
      <c r="F7" s="2"/>
    </row>
    <row r="8" spans="1:13" x14ac:dyDescent="0.2">
      <c r="A8" s="2"/>
      <c r="B8" s="2"/>
      <c r="C8" s="2"/>
      <c r="D8" s="2"/>
      <c r="E8" s="2"/>
      <c r="F8" s="2"/>
    </row>
    <row r="9" spans="1:13" x14ac:dyDescent="0.2">
      <c r="A9" s="2"/>
      <c r="B9" s="2"/>
      <c r="C9" s="2"/>
      <c r="D9" s="2"/>
      <c r="E9" s="2"/>
      <c r="F9" s="2"/>
    </row>
    <row r="10" spans="1:13" x14ac:dyDescent="0.2">
      <c r="A10" s="2"/>
      <c r="B10" s="2"/>
      <c r="C10" s="2"/>
      <c r="D10" s="2"/>
      <c r="E10" s="2"/>
      <c r="F10" s="2"/>
    </row>
    <row r="11" spans="1:13" x14ac:dyDescent="0.2">
      <c r="A11" s="2"/>
      <c r="B11" s="2"/>
      <c r="C11" s="2"/>
      <c r="D11" s="2"/>
      <c r="E11" s="2"/>
      <c r="F11" s="2"/>
    </row>
    <row r="12" spans="1:13" ht="13.5" thickBot="1" x14ac:dyDescent="0.25">
      <c r="A12" s="2"/>
      <c r="B12" s="2"/>
      <c r="C12" s="2"/>
      <c r="D12" s="2"/>
      <c r="E12" s="2"/>
      <c r="F12" s="2"/>
    </row>
    <row r="13" spans="1:13" ht="13.5" thickBot="1" x14ac:dyDescent="0.25">
      <c r="A13" s="15" t="s">
        <v>24</v>
      </c>
      <c r="B13" s="4" t="s">
        <v>25</v>
      </c>
      <c r="C13" s="4" t="s">
        <v>26</v>
      </c>
      <c r="D13" s="4" t="s">
        <v>27</v>
      </c>
      <c r="E13" s="4" t="s">
        <v>28</v>
      </c>
      <c r="F13" s="16" t="s">
        <v>29</v>
      </c>
    </row>
    <row r="14" spans="1:13" x14ac:dyDescent="0.2">
      <c r="A14" s="17" t="s">
        <v>77</v>
      </c>
      <c r="B14" s="18">
        <v>54900</v>
      </c>
      <c r="C14" s="18">
        <v>55200</v>
      </c>
      <c r="D14" s="18"/>
      <c r="E14" s="19">
        <v>30</v>
      </c>
      <c r="F14" s="20"/>
    </row>
    <row r="15" spans="1:13" x14ac:dyDescent="0.2">
      <c r="A15" s="21" t="s">
        <v>78</v>
      </c>
      <c r="B15" s="22">
        <v>33600</v>
      </c>
      <c r="C15" s="22">
        <v>34200</v>
      </c>
      <c r="D15" s="18"/>
      <c r="E15" s="23">
        <v>50</v>
      </c>
      <c r="F15" s="20"/>
    </row>
    <row r="16" spans="1:13" x14ac:dyDescent="0.2">
      <c r="A16" s="21" t="s">
        <v>79</v>
      </c>
      <c r="B16" s="22">
        <v>45956</v>
      </c>
      <c r="C16" s="22">
        <v>46210</v>
      </c>
      <c r="D16" s="18"/>
      <c r="E16" s="23">
        <v>28</v>
      </c>
      <c r="F16" s="20"/>
    </row>
    <row r="17" spans="1:6" x14ac:dyDescent="0.2">
      <c r="A17" s="21" t="s">
        <v>80</v>
      </c>
      <c r="B17" s="22">
        <v>28907</v>
      </c>
      <c r="C17" s="22">
        <v>29706</v>
      </c>
      <c r="D17" s="18"/>
      <c r="E17" s="23">
        <v>75</v>
      </c>
      <c r="F17" s="20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30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</sheetData>
  <phoneticPr fontId="4" type="noConversion"/>
  <printOptions headings="1" gridLines="1"/>
  <pageMargins left="0.39370078740157483" right="0.39370078740157483" top="0.78740157480314965" bottom="0.78740157480314965" header="0.31496062992125984" footer="0.31496062992125984"/>
  <pageSetup paperSize="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2"/>
  </sheetPr>
  <dimension ref="A1:M51"/>
  <sheetViews>
    <sheetView zoomScale="145" zoomScaleNormal="145" workbookViewId="0">
      <selection activeCell="C27" sqref="C27"/>
    </sheetView>
  </sheetViews>
  <sheetFormatPr baseColWidth="10" defaultRowHeight="12.75" x14ac:dyDescent="0.2"/>
  <cols>
    <col min="2" max="2" width="17" bestFit="1" customWidth="1"/>
    <col min="3" max="3" width="15.28515625" bestFit="1" customWidth="1"/>
    <col min="4" max="4" width="17.42578125" bestFit="1" customWidth="1"/>
    <col min="5" max="5" width="18.42578125" bestFit="1" customWidth="1"/>
  </cols>
  <sheetData>
    <row r="1" spans="1:13" ht="18" x14ac:dyDescent="0.25">
      <c r="A1" s="2"/>
      <c r="B1" s="2"/>
      <c r="C1" s="5" t="s">
        <v>30</v>
      </c>
      <c r="D1" s="2"/>
      <c r="E1" s="2"/>
      <c r="M1" t="str">
        <f>Wochenveranstaltung!M1</f>
        <v>.</v>
      </c>
    </row>
    <row r="2" spans="1:13" x14ac:dyDescent="0.2">
      <c r="A2" s="2"/>
      <c r="B2" s="2"/>
      <c r="C2" s="2"/>
      <c r="D2" s="2"/>
      <c r="E2" s="2"/>
    </row>
    <row r="3" spans="1:13" x14ac:dyDescent="0.2">
      <c r="A3" s="2"/>
      <c r="B3" s="2"/>
      <c r="C3" s="2"/>
      <c r="D3" s="2"/>
      <c r="E3" s="2"/>
    </row>
    <row r="4" spans="1:13" x14ac:dyDescent="0.2">
      <c r="A4" s="2"/>
      <c r="B4" s="2"/>
      <c r="C4" s="2"/>
      <c r="D4" s="2"/>
      <c r="E4" s="2"/>
    </row>
    <row r="5" spans="1:13" x14ac:dyDescent="0.2">
      <c r="A5" s="2"/>
      <c r="B5" s="2"/>
      <c r="C5" s="2"/>
      <c r="D5" s="2"/>
      <c r="E5" s="2"/>
    </row>
    <row r="6" spans="1:13" x14ac:dyDescent="0.2">
      <c r="A6" s="2"/>
      <c r="B6" s="2"/>
      <c r="C6" s="2"/>
      <c r="D6" s="2"/>
      <c r="E6" s="2"/>
    </row>
    <row r="7" spans="1:13" x14ac:dyDescent="0.2">
      <c r="A7" s="2"/>
      <c r="B7" s="2"/>
      <c r="C7" s="2"/>
      <c r="D7" s="2"/>
      <c r="E7" s="2"/>
    </row>
    <row r="8" spans="1:13" x14ac:dyDescent="0.2">
      <c r="A8" s="2"/>
      <c r="B8" s="2"/>
      <c r="C8" s="2"/>
      <c r="D8" s="2"/>
      <c r="E8" s="2"/>
    </row>
    <row r="9" spans="1:13" x14ac:dyDescent="0.2">
      <c r="A9" s="2"/>
      <c r="B9" s="2"/>
      <c r="C9" s="2"/>
      <c r="D9" s="2"/>
      <c r="E9" s="2"/>
    </row>
    <row r="10" spans="1:13" x14ac:dyDescent="0.2">
      <c r="A10" s="2"/>
      <c r="B10" s="2"/>
      <c r="C10" s="2"/>
      <c r="D10" s="2"/>
      <c r="E10" s="2"/>
    </row>
    <row r="11" spans="1:13" x14ac:dyDescent="0.2">
      <c r="A11" s="2"/>
      <c r="B11" s="2"/>
      <c r="C11" s="2"/>
      <c r="D11" s="2"/>
      <c r="E11" s="2"/>
    </row>
    <row r="12" spans="1:13" ht="13.5" thickBot="1" x14ac:dyDescent="0.25">
      <c r="A12" s="2"/>
      <c r="B12" s="2"/>
      <c r="C12" s="2"/>
      <c r="D12" s="2"/>
      <c r="E12" s="2"/>
    </row>
    <row r="13" spans="1:13" ht="13.5" thickBot="1" x14ac:dyDescent="0.25">
      <c r="A13" s="44" t="s">
        <v>31</v>
      </c>
      <c r="B13" s="45" t="s">
        <v>32</v>
      </c>
      <c r="C13" s="45" t="s">
        <v>33</v>
      </c>
      <c r="D13" s="45" t="s">
        <v>34</v>
      </c>
      <c r="E13" s="46" t="s">
        <v>35</v>
      </c>
    </row>
    <row r="14" spans="1:13" x14ac:dyDescent="0.2">
      <c r="A14" s="17" t="s">
        <v>36</v>
      </c>
      <c r="B14" s="47">
        <v>6000</v>
      </c>
      <c r="C14" s="47"/>
      <c r="D14" s="48">
        <v>42000</v>
      </c>
      <c r="E14" s="47"/>
    </row>
    <row r="15" spans="1:13" x14ac:dyDescent="0.2">
      <c r="A15" s="21" t="s">
        <v>37</v>
      </c>
      <c r="B15" s="49">
        <v>4500</v>
      </c>
      <c r="C15" s="47"/>
      <c r="D15" s="50">
        <v>30000</v>
      </c>
      <c r="E15" s="47"/>
    </row>
    <row r="16" spans="1:13" x14ac:dyDescent="0.2">
      <c r="A16" s="21" t="s">
        <v>38</v>
      </c>
      <c r="B16" s="49">
        <v>3900</v>
      </c>
      <c r="C16" s="47"/>
      <c r="D16" s="50">
        <v>28750</v>
      </c>
      <c r="E16" s="47"/>
    </row>
    <row r="17" spans="1:5" x14ac:dyDescent="0.2">
      <c r="A17" s="21" t="s">
        <v>39</v>
      </c>
      <c r="B17" s="49">
        <v>5800</v>
      </c>
      <c r="C17" s="47"/>
      <c r="D17" s="50">
        <v>45350</v>
      </c>
      <c r="E17" s="47"/>
    </row>
    <row r="18" spans="1:5" x14ac:dyDescent="0.2">
      <c r="A18" s="21" t="s">
        <v>40</v>
      </c>
      <c r="B18" s="49">
        <v>5500</v>
      </c>
      <c r="C18" s="47"/>
      <c r="D18" s="50">
        <v>44000</v>
      </c>
      <c r="E18" s="47"/>
    </row>
    <row r="19" spans="1:5" x14ac:dyDescent="0.2">
      <c r="A19" s="21" t="s">
        <v>41</v>
      </c>
      <c r="B19" s="49">
        <v>3200</v>
      </c>
      <c r="C19" s="47"/>
      <c r="D19" s="50">
        <v>29670</v>
      </c>
      <c r="E19" s="47"/>
    </row>
    <row r="20" spans="1:5" x14ac:dyDescent="0.2">
      <c r="A20" s="21" t="s">
        <v>42</v>
      </c>
      <c r="B20" s="49">
        <v>7000</v>
      </c>
      <c r="C20" s="47"/>
      <c r="D20" s="50">
        <v>55000</v>
      </c>
      <c r="E20" s="47"/>
    </row>
    <row r="21" spans="1:5" ht="13.5" thickBot="1" x14ac:dyDescent="0.25">
      <c r="A21" s="51" t="s">
        <v>43</v>
      </c>
      <c r="B21" s="52">
        <v>7200</v>
      </c>
      <c r="C21" s="47"/>
      <c r="D21" s="53">
        <v>55500</v>
      </c>
      <c r="E21" s="47"/>
    </row>
    <row r="22" spans="1:5" ht="13.5" thickBot="1" x14ac:dyDescent="0.25">
      <c r="A22" s="15" t="s">
        <v>44</v>
      </c>
      <c r="B22" s="145"/>
      <c r="C22" s="145"/>
      <c r="D22" s="146"/>
      <c r="E22" s="147"/>
    </row>
    <row r="23" spans="1:5" x14ac:dyDescent="0.2">
      <c r="A23" s="6"/>
      <c r="B23" s="6"/>
      <c r="C23" s="6"/>
      <c r="D23" s="6"/>
      <c r="E23" s="6"/>
    </row>
    <row r="24" spans="1:5" x14ac:dyDescent="0.2">
      <c r="A24" s="30"/>
      <c r="B24" s="2"/>
      <c r="C24" s="2"/>
      <c r="D24" s="2"/>
      <c r="E24" s="2"/>
    </row>
    <row r="25" spans="1:5" x14ac:dyDescent="0.2">
      <c r="A25" s="2"/>
      <c r="B25" s="2"/>
      <c r="C25" s="2"/>
      <c r="D25" s="2"/>
      <c r="E25" s="2"/>
    </row>
    <row r="26" spans="1:5" x14ac:dyDescent="0.2">
      <c r="A26" s="2"/>
      <c r="B26" s="2"/>
      <c r="C26" s="2"/>
      <c r="D26" s="2"/>
      <c r="E26" s="2"/>
    </row>
    <row r="27" spans="1:5" x14ac:dyDescent="0.2">
      <c r="A27" s="2"/>
      <c r="B27" s="2"/>
      <c r="C27" s="2"/>
      <c r="D27" s="2"/>
      <c r="E27" s="2"/>
    </row>
    <row r="28" spans="1:5" x14ac:dyDescent="0.2">
      <c r="A28" s="2"/>
      <c r="B28" s="2"/>
      <c r="C28" s="2"/>
      <c r="D28" s="2"/>
      <c r="E28" s="2"/>
    </row>
    <row r="29" spans="1:5" x14ac:dyDescent="0.2">
      <c r="A29" s="2"/>
      <c r="B29" s="2"/>
      <c r="C29" s="2"/>
      <c r="D29" s="2"/>
      <c r="E29" s="2"/>
    </row>
    <row r="30" spans="1:5" x14ac:dyDescent="0.2">
      <c r="A30" s="2"/>
      <c r="B30" s="2"/>
      <c r="C30" s="2"/>
      <c r="D30" s="2"/>
      <c r="E30" s="2"/>
    </row>
    <row r="31" spans="1:5" x14ac:dyDescent="0.2">
      <c r="A31" s="2"/>
      <c r="B31" s="2"/>
      <c r="C31" s="2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x14ac:dyDescent="0.2">
      <c r="A33" s="2"/>
      <c r="B33" s="2"/>
      <c r="C33" s="2"/>
      <c r="D33" s="2"/>
      <c r="E33" s="2"/>
    </row>
    <row r="34" spans="1:5" x14ac:dyDescent="0.2">
      <c r="A34" s="2"/>
      <c r="B34" s="2"/>
      <c r="C34" s="2"/>
      <c r="D34" s="2"/>
      <c r="E34" s="2"/>
    </row>
    <row r="35" spans="1:5" x14ac:dyDescent="0.2">
      <c r="A35" s="2"/>
      <c r="B35" s="2"/>
      <c r="C35" s="2"/>
      <c r="D35" s="2"/>
      <c r="E35" s="2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x14ac:dyDescent="0.2">
      <c r="A41" s="2"/>
      <c r="B41" s="2"/>
      <c r="C41" s="2"/>
      <c r="D41" s="2"/>
      <c r="E41" s="2"/>
    </row>
    <row r="42" spans="1:5" x14ac:dyDescent="0.2">
      <c r="A42" s="2"/>
      <c r="B42" s="2"/>
      <c r="C42" s="2"/>
      <c r="D42" s="2"/>
      <c r="E42" s="2"/>
    </row>
    <row r="43" spans="1:5" x14ac:dyDescent="0.2">
      <c r="A43" s="2"/>
      <c r="B43" s="2"/>
      <c r="C43" s="2"/>
      <c r="D43" s="2"/>
      <c r="E43" s="2"/>
    </row>
    <row r="44" spans="1:5" x14ac:dyDescent="0.2">
      <c r="A44" s="2"/>
      <c r="B44" s="2"/>
      <c r="C44" s="2"/>
      <c r="D44" s="2"/>
      <c r="E44" s="2"/>
    </row>
    <row r="45" spans="1:5" x14ac:dyDescent="0.2">
      <c r="A45" s="2"/>
      <c r="B45" s="2"/>
      <c r="C45" s="2"/>
      <c r="D45" s="2"/>
      <c r="E45" s="2"/>
    </row>
    <row r="46" spans="1:5" x14ac:dyDescent="0.2">
      <c r="A46" s="2"/>
      <c r="B46" s="2"/>
      <c r="C46" s="2"/>
      <c r="D46" s="2"/>
      <c r="E46" s="2"/>
    </row>
    <row r="47" spans="1:5" x14ac:dyDescent="0.2">
      <c r="A47" s="2"/>
      <c r="B47" s="2"/>
      <c r="C47" s="2"/>
      <c r="D47" s="2"/>
      <c r="E47" s="2"/>
    </row>
    <row r="48" spans="1:5" x14ac:dyDescent="0.2">
      <c r="A48" s="2"/>
      <c r="B48" s="2"/>
      <c r="C48" s="2"/>
      <c r="D48" s="2"/>
      <c r="E48" s="2"/>
    </row>
    <row r="49" spans="1:5" x14ac:dyDescent="0.2">
      <c r="A49" s="2"/>
      <c r="B49" s="2"/>
      <c r="C49" s="2"/>
      <c r="D49" s="2"/>
      <c r="E49" s="2"/>
    </row>
    <row r="50" spans="1:5" x14ac:dyDescent="0.2">
      <c r="A50" s="2"/>
      <c r="B50" s="2"/>
      <c r="C50" s="2"/>
      <c r="D50" s="2"/>
      <c r="E50" s="2"/>
    </row>
    <row r="51" spans="1:5" x14ac:dyDescent="0.2">
      <c r="A51" s="2"/>
      <c r="B51" s="2"/>
      <c r="C51" s="2"/>
      <c r="D51" s="2"/>
      <c r="E51" s="2"/>
    </row>
  </sheetData>
  <phoneticPr fontId="4" type="noConversion"/>
  <printOptions headings="1" gridLines="1"/>
  <pageMargins left="0.39370078740157483" right="0.39370078740157483" top="0.78740157480314965" bottom="0.78740157480314965" header="0.31496062992125984" footer="0.31496062992125984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2"/>
  </sheetPr>
  <dimension ref="A1:M34"/>
  <sheetViews>
    <sheetView zoomScale="115" zoomScaleNormal="115" workbookViewId="0">
      <selection activeCell="H12" sqref="H12"/>
    </sheetView>
  </sheetViews>
  <sheetFormatPr baseColWidth="10" defaultRowHeight="12.75" x14ac:dyDescent="0.2"/>
  <cols>
    <col min="1" max="1" width="23" customWidth="1"/>
    <col min="2" max="2" width="10.85546875" bestFit="1" customWidth="1"/>
    <col min="3" max="3" width="10.7109375" bestFit="1" customWidth="1"/>
    <col min="4" max="4" width="13.5703125" bestFit="1" customWidth="1"/>
    <col min="5" max="5" width="11.85546875" bestFit="1" customWidth="1"/>
  </cols>
  <sheetData>
    <row r="1" spans="1:13" ht="18" x14ac:dyDescent="0.25">
      <c r="A1" s="2"/>
      <c r="B1" s="5" t="s">
        <v>45</v>
      </c>
      <c r="C1" s="2"/>
      <c r="D1" s="2"/>
      <c r="E1" s="2"/>
      <c r="F1" s="2"/>
      <c r="M1" t="str">
        <f>Wochenveranstaltung!M1</f>
        <v>.</v>
      </c>
    </row>
    <row r="2" spans="1:13" x14ac:dyDescent="0.2">
      <c r="A2" s="2"/>
      <c r="B2" s="2"/>
      <c r="C2" s="2"/>
      <c r="D2" s="2"/>
      <c r="E2" s="2"/>
      <c r="F2" s="2"/>
    </row>
    <row r="3" spans="1:13" x14ac:dyDescent="0.2">
      <c r="A3" s="2"/>
      <c r="B3" s="2"/>
      <c r="C3" s="2"/>
      <c r="D3" s="2"/>
      <c r="E3" s="2"/>
      <c r="F3" s="2"/>
    </row>
    <row r="4" spans="1:13" x14ac:dyDescent="0.2">
      <c r="A4" s="2"/>
      <c r="B4" s="2"/>
      <c r="C4" s="2"/>
      <c r="D4" s="2"/>
      <c r="E4" s="2"/>
      <c r="F4" s="2"/>
    </row>
    <row r="5" spans="1:13" x14ac:dyDescent="0.2">
      <c r="A5" s="2"/>
      <c r="B5" s="2"/>
      <c r="C5" s="2"/>
      <c r="D5" s="2"/>
      <c r="E5" s="2"/>
      <c r="F5" s="2"/>
    </row>
    <row r="6" spans="1:13" x14ac:dyDescent="0.2">
      <c r="A6" s="2"/>
      <c r="B6" s="2"/>
      <c r="C6" s="2"/>
      <c r="D6" s="2"/>
      <c r="E6" s="2"/>
      <c r="F6" s="2"/>
    </row>
    <row r="7" spans="1:13" x14ac:dyDescent="0.2">
      <c r="A7" s="2"/>
      <c r="B7" s="2"/>
      <c r="C7" s="2"/>
      <c r="D7" s="2"/>
      <c r="E7" s="2"/>
      <c r="F7" s="2"/>
    </row>
    <row r="8" spans="1:13" x14ac:dyDescent="0.2">
      <c r="A8" s="25" t="s">
        <v>46</v>
      </c>
      <c r="B8" s="23">
        <v>140111</v>
      </c>
      <c r="C8" s="23">
        <v>140112</v>
      </c>
      <c r="D8" s="23">
        <v>140113</v>
      </c>
      <c r="E8" s="23">
        <v>140114</v>
      </c>
      <c r="F8" s="2"/>
    </row>
    <row r="9" spans="1:13" x14ac:dyDescent="0.2">
      <c r="A9" s="25" t="s">
        <v>47</v>
      </c>
      <c r="B9" s="148" t="s">
        <v>96</v>
      </c>
      <c r="C9" s="148" t="s">
        <v>97</v>
      </c>
      <c r="D9" s="148" t="s">
        <v>98</v>
      </c>
      <c r="E9" s="148" t="s">
        <v>99</v>
      </c>
      <c r="F9" s="2"/>
    </row>
    <row r="10" spans="1:13" x14ac:dyDescent="0.2">
      <c r="A10" s="25" t="s">
        <v>48</v>
      </c>
      <c r="B10" s="23"/>
      <c r="C10" s="23"/>
      <c r="D10" s="23"/>
      <c r="E10" s="23"/>
      <c r="F10" s="2"/>
    </row>
    <row r="11" spans="1:13" x14ac:dyDescent="0.2">
      <c r="A11" s="25" t="s">
        <v>49</v>
      </c>
      <c r="B11" s="23"/>
      <c r="C11" s="23"/>
      <c r="D11" s="23"/>
      <c r="E11" s="23"/>
      <c r="F11" s="2"/>
    </row>
    <row r="12" spans="1:13" x14ac:dyDescent="0.2">
      <c r="A12" s="25" t="s">
        <v>50</v>
      </c>
      <c r="B12" s="23"/>
      <c r="C12" s="23"/>
      <c r="D12" s="23"/>
      <c r="E12" s="23"/>
      <c r="F12" s="2"/>
    </row>
    <row r="13" spans="1:13" x14ac:dyDescent="0.2">
      <c r="A13" s="25" t="s">
        <v>51</v>
      </c>
      <c r="B13" s="23"/>
      <c r="C13" s="23"/>
      <c r="D13" s="23"/>
      <c r="E13" s="23"/>
      <c r="F13" s="2"/>
    </row>
    <row r="14" spans="1:13" x14ac:dyDescent="0.2">
      <c r="A14" s="2"/>
      <c r="B14" s="2"/>
      <c r="C14" s="2"/>
      <c r="D14" s="2"/>
      <c r="E14" s="2"/>
      <c r="F14" s="2"/>
    </row>
    <row r="15" spans="1:13" x14ac:dyDescent="0.2">
      <c r="A15" s="2"/>
      <c r="B15" s="2"/>
      <c r="C15" s="2"/>
      <c r="D15" s="2"/>
      <c r="E15" s="2"/>
      <c r="F15" s="2"/>
    </row>
    <row r="16" spans="1:13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30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2"/>
      <c r="B31" s="2"/>
      <c r="C31" s="2"/>
      <c r="D31" s="2"/>
      <c r="E31" s="2"/>
      <c r="F31" s="2"/>
    </row>
    <row r="32" spans="1:6" x14ac:dyDescent="0.2">
      <c r="A32" s="2"/>
      <c r="B32" s="2"/>
      <c r="C32" s="2"/>
      <c r="D32" s="2"/>
      <c r="E32" s="2"/>
      <c r="F32" s="2"/>
    </row>
    <row r="33" spans="6:6" x14ac:dyDescent="0.2">
      <c r="F33" s="2"/>
    </row>
    <row r="34" spans="6:6" x14ac:dyDescent="0.2">
      <c r="F34" s="2"/>
    </row>
  </sheetData>
  <phoneticPr fontId="4" type="noConversion"/>
  <printOptions headings="1" gridLines="1"/>
  <pageMargins left="0.39370078740157483" right="0.39370078740157483" top="0.78740157480314965" bottom="0.78740157480314965" header="0.31496062992125984" footer="0.31496062992125984"/>
  <pageSetup paperSize="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2"/>
  </sheetPr>
  <dimension ref="A1:M36"/>
  <sheetViews>
    <sheetView zoomScale="115" zoomScaleNormal="115" workbookViewId="0">
      <selection activeCell="I12" sqref="I12"/>
    </sheetView>
  </sheetViews>
  <sheetFormatPr baseColWidth="10" defaultRowHeight="12.75" x14ac:dyDescent="0.2"/>
  <cols>
    <col min="5" max="5" width="18.85546875" bestFit="1" customWidth="1"/>
    <col min="6" max="6" width="11.85546875" bestFit="1" customWidth="1"/>
    <col min="7" max="7" width="14.28515625" customWidth="1"/>
  </cols>
  <sheetData>
    <row r="1" spans="1:13" ht="18" x14ac:dyDescent="0.25">
      <c r="A1" s="2"/>
      <c r="B1" s="2"/>
      <c r="C1" s="2"/>
      <c r="D1" s="5" t="s">
        <v>52</v>
      </c>
      <c r="E1" s="2"/>
      <c r="F1" s="2"/>
      <c r="G1" s="2"/>
      <c r="H1" s="2"/>
      <c r="I1" s="2"/>
      <c r="J1" s="2"/>
      <c r="K1" s="2"/>
      <c r="L1" s="2"/>
    </row>
    <row r="2" spans="1:1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t="str">
        <f>Wochenveranstaltung!M1</f>
        <v>.</v>
      </c>
    </row>
    <row r="6" spans="1:13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3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3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3" ht="13.5" thickBo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3" ht="13.5" thickBot="1" x14ac:dyDescent="0.25">
      <c r="A10" s="26" t="s">
        <v>53</v>
      </c>
      <c r="B10" s="27" t="s">
        <v>54</v>
      </c>
      <c r="C10" s="27" t="s">
        <v>55</v>
      </c>
      <c r="D10" s="27" t="s">
        <v>56</v>
      </c>
      <c r="E10" s="27" t="s">
        <v>57</v>
      </c>
      <c r="F10" s="27" t="s">
        <v>58</v>
      </c>
      <c r="G10" s="28" t="s">
        <v>59</v>
      </c>
      <c r="H10" s="2"/>
      <c r="I10" s="2"/>
      <c r="J10" s="2"/>
      <c r="K10" s="2"/>
      <c r="L10" s="2"/>
    </row>
    <row r="11" spans="1:13" x14ac:dyDescent="0.2">
      <c r="A11" s="19">
        <v>1</v>
      </c>
      <c r="B11" s="20">
        <v>42.24</v>
      </c>
      <c r="C11" s="20">
        <v>18.399999999999999</v>
      </c>
      <c r="D11" s="20"/>
      <c r="E11" s="20"/>
      <c r="F11" s="149"/>
      <c r="G11" s="20"/>
      <c r="H11" s="2"/>
      <c r="I11" s="2"/>
      <c r="J11" s="2"/>
      <c r="K11" s="2"/>
      <c r="L11" s="2"/>
    </row>
    <row r="12" spans="1:13" x14ac:dyDescent="0.2">
      <c r="A12" s="23">
        <v>2</v>
      </c>
      <c r="B12" s="24">
        <v>37</v>
      </c>
      <c r="C12" s="24">
        <v>21.5</v>
      </c>
      <c r="D12" s="20"/>
      <c r="E12" s="20"/>
      <c r="F12" s="150"/>
      <c r="G12" s="20"/>
      <c r="H12" s="2"/>
      <c r="I12" s="2"/>
      <c r="J12" s="2"/>
      <c r="K12" s="2"/>
      <c r="L12" s="2"/>
    </row>
    <row r="13" spans="1:13" x14ac:dyDescent="0.2">
      <c r="A13" s="23">
        <v>3</v>
      </c>
      <c r="B13" s="24">
        <v>26.5</v>
      </c>
      <c r="C13" s="24">
        <v>29</v>
      </c>
      <c r="D13" s="20"/>
      <c r="E13" s="20"/>
      <c r="F13" s="150"/>
      <c r="G13" s="20"/>
      <c r="H13" s="2"/>
      <c r="I13" s="2"/>
      <c r="J13" s="2"/>
      <c r="K13" s="2"/>
      <c r="L13" s="2"/>
    </row>
    <row r="14" spans="1:13" x14ac:dyDescent="0.2">
      <c r="A14" s="23">
        <v>4</v>
      </c>
      <c r="B14" s="24">
        <v>30.82</v>
      </c>
      <c r="C14" s="24">
        <v>23.7</v>
      </c>
      <c r="D14" s="20"/>
      <c r="E14" s="20"/>
      <c r="F14" s="150"/>
      <c r="G14" s="20"/>
      <c r="H14" s="2"/>
      <c r="I14" s="2"/>
      <c r="J14" s="2"/>
      <c r="K14" s="2"/>
      <c r="L14" s="2"/>
    </row>
    <row r="15" spans="1:13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">
      <c r="A27" s="5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</sheetData>
  <phoneticPr fontId="4" type="noConversion"/>
  <printOptions headings="1" gridLines="1"/>
  <pageMargins left="0.39370078740157483" right="0.39370078740157483" top="0.78740157480314965" bottom="0.78740157480314965" header="0.31496062992125984" footer="0.31496062992125984"/>
  <pageSetup paperSize="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2"/>
    <pageSetUpPr fitToPage="1"/>
  </sheetPr>
  <dimension ref="A1:M33"/>
  <sheetViews>
    <sheetView tabSelected="1" zoomScale="130" zoomScaleNormal="130" workbookViewId="0">
      <selection activeCell="G21" sqref="G21"/>
    </sheetView>
  </sheetViews>
  <sheetFormatPr baseColWidth="10" defaultRowHeight="12.75" x14ac:dyDescent="0.2"/>
  <cols>
    <col min="1" max="1" width="9.140625" style="2" customWidth="1"/>
    <col min="2" max="2" width="10.5703125" style="2" customWidth="1"/>
    <col min="3" max="3" width="9.28515625" style="2" customWidth="1"/>
    <col min="4" max="4" width="11.85546875" style="2" bestFit="1" customWidth="1"/>
    <col min="5" max="5" width="8.5703125" style="2" bestFit="1" customWidth="1"/>
    <col min="6" max="6" width="12.42578125" style="2" customWidth="1"/>
    <col min="7" max="8" width="12.7109375" style="2" customWidth="1"/>
    <col min="9" max="9" width="13" style="2" customWidth="1"/>
    <col min="10" max="10" width="11.42578125" style="2"/>
    <col min="11" max="11" width="12.7109375" style="2" customWidth="1"/>
    <col min="12" max="12" width="11.5703125" style="2" customWidth="1"/>
    <col min="13" max="16384" width="11.42578125" style="2"/>
  </cols>
  <sheetData>
    <row r="1" spans="1:13" ht="18" x14ac:dyDescent="0.25">
      <c r="D1" s="55" t="s">
        <v>60</v>
      </c>
      <c r="M1" s="2" t="str">
        <f>Wochenveranstaltung!M1</f>
        <v>.</v>
      </c>
    </row>
    <row r="3" spans="1:13" s="56" customFormat="1" x14ac:dyDescent="0.2"/>
    <row r="9" spans="1:13" s="58" customFormat="1" ht="54" customHeight="1" x14ac:dyDescent="0.2">
      <c r="A9" s="57" t="s">
        <v>61</v>
      </c>
      <c r="B9" s="57" t="s">
        <v>62</v>
      </c>
      <c r="C9" s="57" t="s">
        <v>63</v>
      </c>
      <c r="D9" s="57" t="s">
        <v>64</v>
      </c>
      <c r="E9" s="57" t="s">
        <v>65</v>
      </c>
      <c r="F9" s="57" t="s">
        <v>66</v>
      </c>
      <c r="G9" s="57" t="s">
        <v>67</v>
      </c>
      <c r="H9" s="57" t="s">
        <v>68</v>
      </c>
      <c r="I9" s="57" t="s">
        <v>69</v>
      </c>
      <c r="J9" s="57" t="s">
        <v>70</v>
      </c>
      <c r="K9" s="57" t="s">
        <v>71</v>
      </c>
      <c r="L9" s="57" t="s">
        <v>72</v>
      </c>
    </row>
    <row r="10" spans="1:13" x14ac:dyDescent="0.2">
      <c r="A10" s="21" t="s">
        <v>73</v>
      </c>
      <c r="B10" s="59">
        <v>2970</v>
      </c>
      <c r="C10" s="59">
        <v>412.67</v>
      </c>
      <c r="D10" s="59">
        <v>13.65</v>
      </c>
      <c r="E10" s="59">
        <v>37.14</v>
      </c>
      <c r="F10" s="59">
        <v>289.58</v>
      </c>
      <c r="G10" s="59">
        <v>207.9</v>
      </c>
      <c r="H10" s="59">
        <v>25.25</v>
      </c>
      <c r="I10" s="59">
        <v>96.53</v>
      </c>
      <c r="J10" s="59"/>
      <c r="K10" s="151"/>
      <c r="L10" s="59"/>
    </row>
    <row r="11" spans="1:13" x14ac:dyDescent="0.2">
      <c r="A11" s="21" t="s">
        <v>74</v>
      </c>
      <c r="B11" s="59">
        <v>1293.42</v>
      </c>
      <c r="C11" s="59">
        <v>131.04</v>
      </c>
      <c r="D11" s="59">
        <v>7.21</v>
      </c>
      <c r="E11" s="59">
        <v>11.79</v>
      </c>
      <c r="F11" s="59">
        <v>126.11</v>
      </c>
      <c r="G11" s="59">
        <v>89.89</v>
      </c>
      <c r="H11" s="59">
        <v>10.99</v>
      </c>
      <c r="I11" s="59">
        <v>42.04</v>
      </c>
      <c r="J11" s="59"/>
      <c r="K11" s="151"/>
      <c r="L11" s="59"/>
    </row>
    <row r="12" spans="1:13" x14ac:dyDescent="0.2">
      <c r="A12" s="21" t="s">
        <v>75</v>
      </c>
      <c r="B12" s="59">
        <v>1474</v>
      </c>
      <c r="C12" s="59">
        <v>124.71</v>
      </c>
      <c r="D12" s="59">
        <v>0</v>
      </c>
      <c r="E12" s="59">
        <v>0</v>
      </c>
      <c r="F12" s="59">
        <v>143.72</v>
      </c>
      <c r="G12" s="59">
        <v>103.18</v>
      </c>
      <c r="H12" s="59">
        <v>12.53</v>
      </c>
      <c r="I12" s="59">
        <v>47.91</v>
      </c>
      <c r="J12" s="59"/>
      <c r="K12" s="151"/>
      <c r="L12" s="59"/>
    </row>
    <row r="13" spans="1:13" x14ac:dyDescent="0.2">
      <c r="A13" s="21" t="s">
        <v>76</v>
      </c>
      <c r="B13" s="59">
        <v>1852</v>
      </c>
      <c r="C13" s="59">
        <v>308</v>
      </c>
      <c r="D13" s="59">
        <v>16.940000000000001</v>
      </c>
      <c r="E13" s="59">
        <v>27.72</v>
      </c>
      <c r="F13" s="59">
        <v>180.57</v>
      </c>
      <c r="G13" s="59">
        <v>134.27000000000001</v>
      </c>
      <c r="H13" s="59">
        <v>15.74</v>
      </c>
      <c r="I13" s="59">
        <v>60.19</v>
      </c>
      <c r="J13" s="59"/>
      <c r="K13" s="151"/>
      <c r="L13" s="59"/>
    </row>
    <row r="15" spans="1:13" x14ac:dyDescent="0.2">
      <c r="A15" s="30"/>
    </row>
    <row r="22" spans="2:2" x14ac:dyDescent="0.2">
      <c r="B22" s="3"/>
    </row>
    <row r="23" spans="2:2" x14ac:dyDescent="0.2">
      <c r="B23" s="3"/>
    </row>
    <row r="24" spans="2:2" x14ac:dyDescent="0.2">
      <c r="B24" s="3"/>
    </row>
    <row r="25" spans="2:2" x14ac:dyDescent="0.2">
      <c r="B25" s="3"/>
    </row>
    <row r="26" spans="2:2" x14ac:dyDescent="0.2">
      <c r="B26" s="3"/>
    </row>
    <row r="27" spans="2:2" x14ac:dyDescent="0.2">
      <c r="B27" s="3"/>
    </row>
    <row r="28" spans="2:2" x14ac:dyDescent="0.2">
      <c r="B28" s="3"/>
    </row>
    <row r="29" spans="2:2" x14ac:dyDescent="0.2">
      <c r="B29" s="3"/>
    </row>
    <row r="30" spans="2:2" x14ac:dyDescent="0.2">
      <c r="B30" s="3"/>
    </row>
    <row r="31" spans="2:2" x14ac:dyDescent="0.2">
      <c r="B31" s="3"/>
    </row>
    <row r="32" spans="2:2" x14ac:dyDescent="0.2">
      <c r="B32" s="3"/>
    </row>
    <row r="33" spans="2:2" x14ac:dyDescent="0.2">
      <c r="B33" s="3"/>
    </row>
  </sheetData>
  <phoneticPr fontId="4" type="noConversion"/>
  <printOptions headings="1" gridLines="1"/>
  <pageMargins left="0.39370078740157483" right="0.39370078740157483" top="0.78740157480314965" bottom="0.78740157480314965" header="0.31496062992125984" footer="0.31496062992125984"/>
  <pageSetup paperSize="9" scale="9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7"/>
  </sheetPr>
  <dimension ref="A1:G10"/>
  <sheetViews>
    <sheetView workbookViewId="0">
      <selection activeCell="F13" sqref="F13"/>
    </sheetView>
  </sheetViews>
  <sheetFormatPr baseColWidth="10" defaultRowHeight="12.75" x14ac:dyDescent="0.2"/>
  <cols>
    <col min="2" max="2" width="13.5703125" bestFit="1" customWidth="1"/>
    <col min="3" max="3" width="37.28515625" bestFit="1" customWidth="1"/>
    <col min="4" max="4" width="16.85546875" bestFit="1" customWidth="1"/>
    <col min="5" max="5" width="16.140625" bestFit="1" customWidth="1"/>
    <col min="7" max="7" width="11.7109375" bestFit="1" customWidth="1"/>
  </cols>
  <sheetData>
    <row r="1" spans="1:7" x14ac:dyDescent="0.2">
      <c r="C1" s="60" t="s">
        <v>81</v>
      </c>
    </row>
    <row r="3" spans="1:7" x14ac:dyDescent="0.2">
      <c r="A3" s="61"/>
      <c r="B3" s="62" t="s">
        <v>82</v>
      </c>
      <c r="C3" s="62" t="s">
        <v>83</v>
      </c>
      <c r="D3" s="62" t="s">
        <v>84</v>
      </c>
      <c r="E3" s="62" t="s">
        <v>85</v>
      </c>
      <c r="F3" s="62" t="s">
        <v>86</v>
      </c>
      <c r="G3" s="62" t="s">
        <v>87</v>
      </c>
    </row>
    <row r="4" spans="1:7" x14ac:dyDescent="0.2">
      <c r="A4" s="63" t="s">
        <v>0</v>
      </c>
      <c r="B4" s="64" t="s">
        <v>88</v>
      </c>
      <c r="C4" s="65">
        <v>75</v>
      </c>
      <c r="D4" s="66">
        <v>2000</v>
      </c>
      <c r="E4" s="64">
        <v>1170</v>
      </c>
      <c r="F4" s="67">
        <f t="shared" ref="F4:F9" si="0">D4-E4</f>
        <v>830</v>
      </c>
      <c r="G4" s="68">
        <f t="shared" ref="G4:G9" si="1">C4*E4</f>
        <v>87750</v>
      </c>
    </row>
    <row r="5" spans="1:7" x14ac:dyDescent="0.2">
      <c r="A5" s="63" t="s">
        <v>1</v>
      </c>
      <c r="B5" s="69" t="s">
        <v>89</v>
      </c>
      <c r="C5" s="65">
        <v>85</v>
      </c>
      <c r="D5" s="70">
        <v>3000</v>
      </c>
      <c r="E5" s="69">
        <v>2148</v>
      </c>
      <c r="F5" s="71">
        <f t="shared" si="0"/>
        <v>852</v>
      </c>
      <c r="G5" s="72">
        <f t="shared" si="1"/>
        <v>182580</v>
      </c>
    </row>
    <row r="6" spans="1:7" x14ac:dyDescent="0.2">
      <c r="A6" s="63" t="s">
        <v>2</v>
      </c>
      <c r="B6" s="69" t="s">
        <v>90</v>
      </c>
      <c r="C6" s="65">
        <v>40</v>
      </c>
      <c r="D6" s="70">
        <v>2500</v>
      </c>
      <c r="E6" s="69">
        <v>2500</v>
      </c>
      <c r="F6" s="71">
        <f t="shared" si="0"/>
        <v>0</v>
      </c>
      <c r="G6" s="72">
        <f t="shared" si="1"/>
        <v>100000</v>
      </c>
    </row>
    <row r="7" spans="1:7" x14ac:dyDescent="0.2">
      <c r="A7" s="63" t="s">
        <v>3</v>
      </c>
      <c r="B7" s="69" t="s">
        <v>91</v>
      </c>
      <c r="C7" s="65">
        <v>55</v>
      </c>
      <c r="D7" s="70">
        <v>2500</v>
      </c>
      <c r="E7" s="69">
        <v>1879</v>
      </c>
      <c r="F7" s="71">
        <f t="shared" si="0"/>
        <v>621</v>
      </c>
      <c r="G7" s="72">
        <f t="shared" si="1"/>
        <v>103345</v>
      </c>
    </row>
    <row r="8" spans="1:7" x14ac:dyDescent="0.2">
      <c r="A8" s="63" t="s">
        <v>4</v>
      </c>
      <c r="B8" s="69" t="s">
        <v>92</v>
      </c>
      <c r="C8" s="65">
        <v>35</v>
      </c>
      <c r="D8" s="70">
        <v>2000</v>
      </c>
      <c r="E8" s="69">
        <v>760</v>
      </c>
      <c r="F8" s="71">
        <f t="shared" si="0"/>
        <v>1240</v>
      </c>
      <c r="G8" s="72">
        <f t="shared" si="1"/>
        <v>26600</v>
      </c>
    </row>
    <row r="9" spans="1:7" ht="13.5" thickBot="1" x14ac:dyDescent="0.25">
      <c r="A9" s="73" t="s">
        <v>5</v>
      </c>
      <c r="B9" s="69" t="s">
        <v>93</v>
      </c>
      <c r="C9" s="74">
        <v>80</v>
      </c>
      <c r="D9" s="70">
        <v>2500</v>
      </c>
      <c r="E9" s="69">
        <v>2370</v>
      </c>
      <c r="F9" s="71">
        <f t="shared" si="0"/>
        <v>130</v>
      </c>
      <c r="G9" s="72">
        <f t="shared" si="1"/>
        <v>189600</v>
      </c>
    </row>
    <row r="10" spans="1:7" ht="13.5" thickBot="1" x14ac:dyDescent="0.25">
      <c r="A10" s="75" t="s">
        <v>94</v>
      </c>
      <c r="B10" s="76"/>
      <c r="C10" s="77"/>
      <c r="D10" s="78">
        <f>SUM(D4:D9)</f>
        <v>14500</v>
      </c>
      <c r="E10" s="79">
        <f>SUM(E4:E9)</f>
        <v>10827</v>
      </c>
      <c r="F10" s="80">
        <f>SUM(F4:F9)</f>
        <v>3673</v>
      </c>
      <c r="G10" s="81">
        <f>SUM(G4:G9)</f>
        <v>689875</v>
      </c>
    </row>
  </sheetData>
  <sheetProtection password="C99E" sheet="1" objects="1" scenarios="1" selectLockedCells="1" selectUnlockedCells="1"/>
  <phoneticPr fontId="4" type="noConversion"/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7"/>
  </sheetPr>
  <dimension ref="A5:F11"/>
  <sheetViews>
    <sheetView workbookViewId="0">
      <selection activeCell="A33" sqref="A33"/>
    </sheetView>
  </sheetViews>
  <sheetFormatPr baseColWidth="10" defaultRowHeight="12.75" x14ac:dyDescent="0.2"/>
  <cols>
    <col min="1" max="1" width="11.5703125" bestFit="1" customWidth="1"/>
    <col min="2" max="5" width="7.42578125" bestFit="1" customWidth="1"/>
    <col min="6" max="6" width="6.85546875" bestFit="1" customWidth="1"/>
  </cols>
  <sheetData>
    <row r="5" spans="1:6" ht="13.5" thickBot="1" x14ac:dyDescent="0.25"/>
    <row r="6" spans="1:6" ht="13.5" thickBot="1" x14ac:dyDescent="0.25">
      <c r="A6" s="82" t="s">
        <v>6</v>
      </c>
      <c r="B6" s="83" t="s">
        <v>7</v>
      </c>
      <c r="C6" s="84" t="s">
        <v>8</v>
      </c>
      <c r="D6" s="84" t="s">
        <v>9</v>
      </c>
      <c r="E6" s="84" t="s">
        <v>10</v>
      </c>
      <c r="F6" s="85" t="s">
        <v>11</v>
      </c>
    </row>
    <row r="7" spans="1:6" x14ac:dyDescent="0.2">
      <c r="A7" s="86" t="s">
        <v>12</v>
      </c>
      <c r="B7" s="87">
        <v>50000</v>
      </c>
      <c r="C7" s="87">
        <v>30000</v>
      </c>
      <c r="D7" s="87">
        <v>40000</v>
      </c>
      <c r="E7" s="87">
        <v>30000</v>
      </c>
      <c r="F7" s="87">
        <f>SUM(B7:E7)</f>
        <v>150000</v>
      </c>
    </row>
    <row r="8" spans="1:6" x14ac:dyDescent="0.2">
      <c r="A8" s="88" t="s">
        <v>13</v>
      </c>
      <c r="B8" s="89">
        <v>90000</v>
      </c>
      <c r="C8" s="89">
        <v>100000</v>
      </c>
      <c r="D8" s="89">
        <v>50000</v>
      </c>
      <c r="E8" s="89">
        <v>40000</v>
      </c>
      <c r="F8" s="89">
        <f>SUM(B8:E8)</f>
        <v>280000</v>
      </c>
    </row>
    <row r="9" spans="1:6" x14ac:dyDescent="0.2">
      <c r="A9" s="88" t="s">
        <v>14</v>
      </c>
      <c r="B9" s="89">
        <v>40000</v>
      </c>
      <c r="C9" s="89">
        <v>70000</v>
      </c>
      <c r="D9" s="89">
        <v>50000</v>
      </c>
      <c r="E9" s="89">
        <v>80000</v>
      </c>
      <c r="F9" s="89">
        <f>SUM(B9:E9)</f>
        <v>240000</v>
      </c>
    </row>
    <row r="10" spans="1:6" x14ac:dyDescent="0.2">
      <c r="A10" s="88" t="s">
        <v>15</v>
      </c>
      <c r="B10" s="89">
        <v>50000</v>
      </c>
      <c r="C10" s="89">
        <v>65000</v>
      </c>
      <c r="D10" s="89">
        <v>60000</v>
      </c>
      <c r="E10" s="89">
        <v>85000</v>
      </c>
      <c r="F10" s="89">
        <f>SUM(B10:E10)</f>
        <v>260000</v>
      </c>
    </row>
    <row r="11" spans="1:6" ht="13.5" thickBot="1" x14ac:dyDescent="0.25">
      <c r="A11" s="90" t="s">
        <v>11</v>
      </c>
      <c r="B11" s="91">
        <f>SUM(B7:B10)</f>
        <v>230000</v>
      </c>
      <c r="C11" s="91">
        <f>SUM(C7:C10)</f>
        <v>265000</v>
      </c>
      <c r="D11" s="91">
        <f>SUM(D7:D10)</f>
        <v>200000</v>
      </c>
      <c r="E11" s="91">
        <f>SUM(E7:E10)</f>
        <v>235000</v>
      </c>
      <c r="F11" s="91"/>
    </row>
  </sheetData>
  <sheetProtection password="C99E" sheet="1" objects="1" scenarios="1" selectLockedCells="1" selectUnlockedCells="1"/>
  <phoneticPr fontId="4" type="noConversion"/>
  <pageMargins left="0.78740157499999996" right="0.78740157499999996" top="0.984251969" bottom="0.984251969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47"/>
  </sheetPr>
  <dimension ref="A11:E19"/>
  <sheetViews>
    <sheetView workbookViewId="0">
      <selection activeCell="A43" sqref="A43"/>
    </sheetView>
  </sheetViews>
  <sheetFormatPr baseColWidth="10" defaultRowHeight="12.75" x14ac:dyDescent="0.2"/>
  <cols>
    <col min="1" max="1" width="11.28515625" bestFit="1" customWidth="1"/>
    <col min="2" max="2" width="10.28515625" bestFit="1" customWidth="1"/>
    <col min="3" max="3" width="11.85546875" bestFit="1" customWidth="1"/>
    <col min="4" max="4" width="36.85546875" bestFit="1" customWidth="1"/>
    <col min="5" max="5" width="12.140625" bestFit="1" customWidth="1"/>
  </cols>
  <sheetData>
    <row r="11" spans="1:5" ht="13.5" thickBot="1" x14ac:dyDescent="0.25"/>
    <row r="12" spans="1:5" ht="13.5" thickBot="1" x14ac:dyDescent="0.25">
      <c r="A12" s="92" t="s">
        <v>17</v>
      </c>
      <c r="B12" s="93" t="s">
        <v>18</v>
      </c>
      <c r="C12" s="93" t="s">
        <v>19</v>
      </c>
      <c r="D12" s="93" t="s">
        <v>20</v>
      </c>
      <c r="E12" s="94" t="s">
        <v>21</v>
      </c>
    </row>
    <row r="13" spans="1:5" x14ac:dyDescent="0.2">
      <c r="A13" s="95" t="s">
        <v>0</v>
      </c>
      <c r="B13" s="96">
        <v>5600</v>
      </c>
      <c r="C13" s="97">
        <v>12</v>
      </c>
      <c r="D13" s="96">
        <f>B13/C13</f>
        <v>466.66666666666669</v>
      </c>
      <c r="E13" s="96">
        <f>B13*2/100</f>
        <v>112</v>
      </c>
    </row>
    <row r="14" spans="1:5" x14ac:dyDescent="0.2">
      <c r="A14" s="98" t="s">
        <v>1</v>
      </c>
      <c r="B14" s="99">
        <v>3800.7</v>
      </c>
      <c r="C14" s="79">
        <v>10</v>
      </c>
      <c r="D14" s="99">
        <f t="shared" ref="D14:D19" si="0">B14/C14</f>
        <v>380.07</v>
      </c>
      <c r="E14" s="99">
        <f t="shared" ref="E14:E19" si="1">B14*2/100</f>
        <v>76.013999999999996</v>
      </c>
    </row>
    <row r="15" spans="1:5" x14ac:dyDescent="0.2">
      <c r="A15" s="98" t="s">
        <v>2</v>
      </c>
      <c r="B15" s="99">
        <v>6600.75</v>
      </c>
      <c r="C15" s="79">
        <v>15</v>
      </c>
      <c r="D15" s="99">
        <f t="shared" si="0"/>
        <v>440.05</v>
      </c>
      <c r="E15" s="99">
        <f t="shared" si="1"/>
        <v>132.01499999999999</v>
      </c>
    </row>
    <row r="16" spans="1:5" x14ac:dyDescent="0.2">
      <c r="A16" s="98" t="s">
        <v>3</v>
      </c>
      <c r="B16" s="99">
        <v>10400.799999999999</v>
      </c>
      <c r="C16" s="79">
        <v>20</v>
      </c>
      <c r="D16" s="99">
        <f t="shared" si="0"/>
        <v>520.04</v>
      </c>
      <c r="E16" s="99">
        <f t="shared" si="1"/>
        <v>208.01599999999999</v>
      </c>
    </row>
    <row r="17" spans="1:5" x14ac:dyDescent="0.2">
      <c r="A17" s="98" t="s">
        <v>4</v>
      </c>
      <c r="B17" s="99">
        <v>5500.8</v>
      </c>
      <c r="C17" s="79">
        <v>14</v>
      </c>
      <c r="D17" s="99">
        <f t="shared" si="0"/>
        <v>392.91428571428571</v>
      </c>
      <c r="E17" s="99">
        <f t="shared" si="1"/>
        <v>110.01600000000001</v>
      </c>
    </row>
    <row r="18" spans="1:5" ht="13.5" thickBot="1" x14ac:dyDescent="0.25">
      <c r="A18" s="100" t="s">
        <v>5</v>
      </c>
      <c r="B18" s="101">
        <v>5385.25</v>
      </c>
      <c r="C18" s="64">
        <v>18</v>
      </c>
      <c r="D18" s="101">
        <f t="shared" si="0"/>
        <v>299.18055555555554</v>
      </c>
      <c r="E18" s="101">
        <f t="shared" si="1"/>
        <v>107.705</v>
      </c>
    </row>
    <row r="19" spans="1:5" ht="13.5" thickBot="1" x14ac:dyDescent="0.25">
      <c r="A19" s="102" t="s">
        <v>22</v>
      </c>
      <c r="B19" s="103">
        <f>SUM(B13:B18)</f>
        <v>37288.300000000003</v>
      </c>
      <c r="C19" s="104">
        <f>SUM(C13:C18)</f>
        <v>89</v>
      </c>
      <c r="D19" s="103">
        <f t="shared" si="0"/>
        <v>418.96966292134834</v>
      </c>
      <c r="E19" s="105">
        <f t="shared" si="1"/>
        <v>745.76600000000008</v>
      </c>
    </row>
  </sheetData>
  <sheetProtection password="C99E" sheet="1" objects="1" scenarios="1" selectLockedCells="1" selectUnlockedCells="1"/>
  <phoneticPr fontId="4" type="noConversion"/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47"/>
  </sheetPr>
  <dimension ref="A12:F17"/>
  <sheetViews>
    <sheetView workbookViewId="0">
      <selection activeCell="A33" sqref="A33"/>
    </sheetView>
  </sheetViews>
  <sheetFormatPr baseColWidth="10" defaultRowHeight="12.75" x14ac:dyDescent="0.2"/>
  <cols>
    <col min="1" max="1" width="11.5703125" bestFit="1" customWidth="1"/>
    <col min="2" max="2" width="24.5703125" bestFit="1" customWidth="1"/>
    <col min="3" max="3" width="26.7109375" bestFit="1" customWidth="1"/>
    <col min="4" max="4" width="12.140625" bestFit="1" customWidth="1"/>
    <col min="5" max="5" width="27.140625" bestFit="1" customWidth="1"/>
    <col min="6" max="6" width="21.5703125" bestFit="1" customWidth="1"/>
  </cols>
  <sheetData>
    <row r="12" spans="1:6" ht="13.5" thickBot="1" x14ac:dyDescent="0.25"/>
    <row r="13" spans="1:6" ht="13.5" thickBot="1" x14ac:dyDescent="0.25">
      <c r="A13" s="106" t="s">
        <v>24</v>
      </c>
      <c r="B13" s="107" t="s">
        <v>25</v>
      </c>
      <c r="C13" s="107" t="s">
        <v>26</v>
      </c>
      <c r="D13" s="107" t="s">
        <v>27</v>
      </c>
      <c r="E13" s="107" t="s">
        <v>28</v>
      </c>
      <c r="F13" s="108" t="s">
        <v>29</v>
      </c>
    </row>
    <row r="14" spans="1:6" x14ac:dyDescent="0.2">
      <c r="A14" s="109" t="s">
        <v>77</v>
      </c>
      <c r="B14" s="110">
        <v>54900</v>
      </c>
      <c r="C14" s="110">
        <v>55200</v>
      </c>
      <c r="D14" s="110">
        <f>C14-B14</f>
        <v>300</v>
      </c>
      <c r="E14" s="97">
        <v>30</v>
      </c>
      <c r="F14" s="111">
        <f>E14/D14*100</f>
        <v>10</v>
      </c>
    </row>
    <row r="15" spans="1:6" x14ac:dyDescent="0.2">
      <c r="A15" s="112" t="s">
        <v>78</v>
      </c>
      <c r="B15" s="113">
        <v>33600</v>
      </c>
      <c r="C15" s="113">
        <v>34200</v>
      </c>
      <c r="D15" s="79">
        <f>C15-B15</f>
        <v>600</v>
      </c>
      <c r="E15" s="79">
        <v>50</v>
      </c>
      <c r="F15" s="114">
        <f>E15/D15*100</f>
        <v>8.3333333333333321</v>
      </c>
    </row>
    <row r="16" spans="1:6" x14ac:dyDescent="0.2">
      <c r="A16" s="112" t="s">
        <v>79</v>
      </c>
      <c r="B16" s="113">
        <v>45956</v>
      </c>
      <c r="C16" s="113">
        <v>46210</v>
      </c>
      <c r="D16" s="79">
        <f>C16-B16</f>
        <v>254</v>
      </c>
      <c r="E16" s="79">
        <v>28</v>
      </c>
      <c r="F16" s="114">
        <f>E16/D16*100</f>
        <v>11.023622047244094</v>
      </c>
    </row>
    <row r="17" spans="1:6" x14ac:dyDescent="0.2">
      <c r="A17" s="112" t="s">
        <v>80</v>
      </c>
      <c r="B17" s="113">
        <v>28907</v>
      </c>
      <c r="C17" s="113">
        <v>29706</v>
      </c>
      <c r="D17" s="79">
        <f>C17-B17</f>
        <v>799</v>
      </c>
      <c r="E17" s="79">
        <v>75</v>
      </c>
      <c r="F17" s="114">
        <f>E17/D17*100</f>
        <v>9.386733416770964</v>
      </c>
    </row>
  </sheetData>
  <sheetProtection password="C99E" sheet="1" objects="1" scenarios="1" selectLockedCells="1" selectUnlockedCells="1"/>
  <phoneticPr fontId="4" type="noConversion"/>
  <pageMargins left="0.78740157499999996" right="0.78740157499999996" top="0.984251969" bottom="0.984251969" header="0.4921259845" footer="0.492125984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47"/>
  </sheetPr>
  <dimension ref="A12:E22"/>
  <sheetViews>
    <sheetView workbookViewId="0">
      <selection activeCell="A33" sqref="A33"/>
    </sheetView>
  </sheetViews>
  <sheetFormatPr baseColWidth="10" defaultRowHeight="12.75" x14ac:dyDescent="0.2"/>
  <cols>
    <col min="2" max="2" width="17" bestFit="1" customWidth="1"/>
    <col min="3" max="3" width="15.28515625" bestFit="1" customWidth="1"/>
    <col min="4" max="4" width="17.42578125" bestFit="1" customWidth="1"/>
    <col min="5" max="5" width="18.42578125" bestFit="1" customWidth="1"/>
  </cols>
  <sheetData>
    <row r="12" spans="1:5" ht="13.5" thickBot="1" x14ac:dyDescent="0.25"/>
    <row r="13" spans="1:5" ht="13.5" thickBot="1" x14ac:dyDescent="0.25">
      <c r="A13" s="102" t="s">
        <v>31</v>
      </c>
      <c r="B13" s="115" t="s">
        <v>32</v>
      </c>
      <c r="C13" s="115" t="s">
        <v>33</v>
      </c>
      <c r="D13" s="115" t="s">
        <v>34</v>
      </c>
      <c r="E13" s="116" t="s">
        <v>35</v>
      </c>
    </row>
    <row r="14" spans="1:5" x14ac:dyDescent="0.2">
      <c r="A14" s="109" t="s">
        <v>36</v>
      </c>
      <c r="B14" s="117">
        <v>6000</v>
      </c>
      <c r="C14" s="117">
        <f>B14*12</f>
        <v>72000</v>
      </c>
      <c r="D14" s="118">
        <v>42000</v>
      </c>
      <c r="E14" s="117">
        <f>C14+D14</f>
        <v>114000</v>
      </c>
    </row>
    <row r="15" spans="1:5" x14ac:dyDescent="0.2">
      <c r="A15" s="112" t="s">
        <v>37</v>
      </c>
      <c r="B15" s="119">
        <v>4500</v>
      </c>
      <c r="C15" s="117">
        <f t="shared" ref="C15:C21" si="0">B15*12</f>
        <v>54000</v>
      </c>
      <c r="D15" s="120">
        <v>30000</v>
      </c>
      <c r="E15" s="117">
        <f t="shared" ref="E15:E21" si="1">C15+D15</f>
        <v>84000</v>
      </c>
    </row>
    <row r="16" spans="1:5" x14ac:dyDescent="0.2">
      <c r="A16" s="112" t="s">
        <v>38</v>
      </c>
      <c r="B16" s="119">
        <v>3900</v>
      </c>
      <c r="C16" s="117">
        <f t="shared" si="0"/>
        <v>46800</v>
      </c>
      <c r="D16" s="120">
        <v>28750</v>
      </c>
      <c r="E16" s="117">
        <f t="shared" si="1"/>
        <v>75550</v>
      </c>
    </row>
    <row r="17" spans="1:5" x14ac:dyDescent="0.2">
      <c r="A17" s="112" t="s">
        <v>39</v>
      </c>
      <c r="B17" s="119">
        <v>5800</v>
      </c>
      <c r="C17" s="117">
        <f t="shared" si="0"/>
        <v>69600</v>
      </c>
      <c r="D17" s="120">
        <v>45350</v>
      </c>
      <c r="E17" s="117">
        <f t="shared" si="1"/>
        <v>114950</v>
      </c>
    </row>
    <row r="18" spans="1:5" x14ac:dyDescent="0.2">
      <c r="A18" s="112" t="s">
        <v>40</v>
      </c>
      <c r="B18" s="119">
        <v>5500</v>
      </c>
      <c r="C18" s="117">
        <f t="shared" si="0"/>
        <v>66000</v>
      </c>
      <c r="D18" s="120">
        <v>44000</v>
      </c>
      <c r="E18" s="117">
        <f t="shared" si="1"/>
        <v>110000</v>
      </c>
    </row>
    <row r="19" spans="1:5" x14ac:dyDescent="0.2">
      <c r="A19" s="112" t="s">
        <v>42</v>
      </c>
      <c r="B19" s="119">
        <v>3200</v>
      </c>
      <c r="C19" s="117">
        <f t="shared" si="0"/>
        <v>38400</v>
      </c>
      <c r="D19" s="120">
        <v>29670</v>
      </c>
      <c r="E19" s="117">
        <f t="shared" si="1"/>
        <v>68070</v>
      </c>
    </row>
    <row r="20" spans="1:5" x14ac:dyDescent="0.2">
      <c r="A20" s="112" t="s">
        <v>95</v>
      </c>
      <c r="B20" s="119">
        <v>7000</v>
      </c>
      <c r="C20" s="117">
        <f t="shared" si="0"/>
        <v>84000</v>
      </c>
      <c r="D20" s="120">
        <v>55000</v>
      </c>
      <c r="E20" s="117">
        <f t="shared" si="1"/>
        <v>139000</v>
      </c>
    </row>
    <row r="21" spans="1:5" ht="13.5" thickBot="1" x14ac:dyDescent="0.25">
      <c r="A21" s="121" t="s">
        <v>43</v>
      </c>
      <c r="B21" s="122">
        <v>7200</v>
      </c>
      <c r="C21" s="117">
        <f t="shared" si="0"/>
        <v>86400</v>
      </c>
      <c r="D21" s="123">
        <v>55500</v>
      </c>
      <c r="E21" s="117">
        <f t="shared" si="1"/>
        <v>141900</v>
      </c>
    </row>
    <row r="22" spans="1:5" ht="13.5" thickBot="1" x14ac:dyDescent="0.25">
      <c r="A22" s="15" t="s">
        <v>44</v>
      </c>
      <c r="B22" s="124">
        <f>SUM(B14:B21)</f>
        <v>43100</v>
      </c>
      <c r="C22" s="124">
        <f>SUM(C14:C21)</f>
        <v>517200</v>
      </c>
      <c r="D22" s="124">
        <f>SUM(D14:D21)</f>
        <v>330270</v>
      </c>
      <c r="E22" s="124">
        <f>SUM(E14:E21)</f>
        <v>847470</v>
      </c>
    </row>
  </sheetData>
  <sheetProtection password="C99E" sheet="1" objects="1" scenarios="1" selectLockedCells="1" selectUnlockedCells="1"/>
  <phoneticPr fontId="4" type="noConversion"/>
  <pageMargins left="0.78740157499999996" right="0.78740157499999996" top="0.984251969" bottom="0.984251969" header="0.4921259845" footer="0.492125984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47"/>
  </sheetPr>
  <dimension ref="A8:E13"/>
  <sheetViews>
    <sheetView workbookViewId="0">
      <selection activeCell="A37" sqref="A37"/>
    </sheetView>
  </sheetViews>
  <sheetFormatPr baseColWidth="10" defaultRowHeight="12.75" x14ac:dyDescent="0.2"/>
  <cols>
    <col min="1" max="1" width="22.28515625" bestFit="1" customWidth="1"/>
    <col min="3" max="3" width="10.7109375" bestFit="1" customWidth="1"/>
    <col min="4" max="4" width="13.5703125" bestFit="1" customWidth="1"/>
    <col min="5" max="5" width="11.85546875" bestFit="1" customWidth="1"/>
  </cols>
  <sheetData>
    <row r="8" spans="1:5" x14ac:dyDescent="0.2">
      <c r="A8" s="75" t="s">
        <v>46</v>
      </c>
      <c r="B8" s="79">
        <v>140111</v>
      </c>
      <c r="C8" s="79">
        <v>140112</v>
      </c>
      <c r="D8" s="79">
        <v>140113</v>
      </c>
      <c r="E8" s="79">
        <v>140114</v>
      </c>
    </row>
    <row r="9" spans="1:5" x14ac:dyDescent="0.2">
      <c r="A9" s="75" t="s">
        <v>47</v>
      </c>
      <c r="B9" s="112" t="s">
        <v>96</v>
      </c>
      <c r="C9" s="112" t="s">
        <v>97</v>
      </c>
      <c r="D9" s="112" t="s">
        <v>98</v>
      </c>
      <c r="E9" s="112" t="s">
        <v>99</v>
      </c>
    </row>
    <row r="10" spans="1:5" x14ac:dyDescent="0.2">
      <c r="A10" s="75" t="s">
        <v>48</v>
      </c>
      <c r="B10" s="79">
        <v>90</v>
      </c>
      <c r="C10" s="79">
        <v>40</v>
      </c>
      <c r="D10" s="79">
        <v>65</v>
      </c>
      <c r="E10" s="79">
        <v>33</v>
      </c>
    </row>
    <row r="11" spans="1:5" x14ac:dyDescent="0.2">
      <c r="A11" s="75" t="s">
        <v>49</v>
      </c>
      <c r="B11" s="79">
        <v>30</v>
      </c>
      <c r="C11" s="79">
        <v>0</v>
      </c>
      <c r="D11" s="79">
        <v>25</v>
      </c>
      <c r="E11" s="79">
        <v>10</v>
      </c>
    </row>
    <row r="12" spans="1:5" x14ac:dyDescent="0.2">
      <c r="A12" s="75" t="s">
        <v>50</v>
      </c>
      <c r="B12" s="79">
        <v>45</v>
      </c>
      <c r="C12" s="79">
        <v>40</v>
      </c>
      <c r="D12" s="79">
        <v>45</v>
      </c>
      <c r="E12" s="79">
        <v>8</v>
      </c>
    </row>
    <row r="13" spans="1:5" x14ac:dyDescent="0.2">
      <c r="A13" s="75" t="s">
        <v>51</v>
      </c>
      <c r="B13" s="79">
        <f>B10+B11-B12</f>
        <v>75</v>
      </c>
      <c r="C13" s="79">
        <f>C10+C11-C12</f>
        <v>0</v>
      </c>
      <c r="D13" s="79">
        <f>D10+D11-D12</f>
        <v>45</v>
      </c>
      <c r="E13" s="79">
        <f>E10+E11-E12</f>
        <v>35</v>
      </c>
    </row>
  </sheetData>
  <sheetProtection password="C99E" sheet="1" objects="1" scenarios="1" selectLockedCells="1" selectUnlockedCells="1"/>
  <phoneticPr fontId="4" type="noConversion"/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7"/>
  </sheetPr>
  <dimension ref="A9:G14"/>
  <sheetViews>
    <sheetView topLeftCell="A3" workbookViewId="0">
      <selection activeCell="A33" sqref="A33"/>
    </sheetView>
  </sheetViews>
  <sheetFormatPr baseColWidth="10" defaultRowHeight="12.75" x14ac:dyDescent="0.2"/>
  <cols>
    <col min="1" max="1" width="10.85546875" bestFit="1" customWidth="1"/>
    <col min="2" max="2" width="9.28515625" bestFit="1" customWidth="1"/>
    <col min="3" max="3" width="9.7109375" bestFit="1" customWidth="1"/>
    <col min="4" max="4" width="10.5703125" bestFit="1" customWidth="1"/>
    <col min="5" max="5" width="18" bestFit="1" customWidth="1"/>
    <col min="7" max="7" width="13.85546875" bestFit="1" customWidth="1"/>
  </cols>
  <sheetData>
    <row r="9" spans="1:7" ht="13.5" thickBot="1" x14ac:dyDescent="0.25"/>
    <row r="10" spans="1:7" ht="13.5" thickBot="1" x14ac:dyDescent="0.25">
      <c r="A10" s="125" t="s">
        <v>53</v>
      </c>
      <c r="B10" s="126" t="s">
        <v>54</v>
      </c>
      <c r="C10" s="126" t="s">
        <v>55</v>
      </c>
      <c r="D10" s="126" t="s">
        <v>56</v>
      </c>
      <c r="E10" s="126" t="s">
        <v>57</v>
      </c>
      <c r="F10" s="126" t="s">
        <v>58</v>
      </c>
      <c r="G10" s="127" t="s">
        <v>59</v>
      </c>
    </row>
    <row r="11" spans="1:7" x14ac:dyDescent="0.2">
      <c r="A11" s="97">
        <v>1</v>
      </c>
      <c r="B11" s="111">
        <v>42.24</v>
      </c>
      <c r="C11" s="111">
        <v>18.399999999999999</v>
      </c>
      <c r="D11" s="111">
        <f>2*B11+2*C11</f>
        <v>121.28</v>
      </c>
      <c r="E11" s="111">
        <f>B11*C11</f>
        <v>777.21600000000001</v>
      </c>
      <c r="F11" s="111">
        <v>19430</v>
      </c>
      <c r="G11" s="111">
        <f>F11/E11</f>
        <v>24.999485342555996</v>
      </c>
    </row>
    <row r="12" spans="1:7" x14ac:dyDescent="0.2">
      <c r="A12" s="79">
        <v>2</v>
      </c>
      <c r="B12" s="114">
        <v>37</v>
      </c>
      <c r="C12" s="114">
        <v>21.5</v>
      </c>
      <c r="D12" s="111">
        <f>2*B12+2*C12</f>
        <v>117</v>
      </c>
      <c r="E12" s="111">
        <f>B12*C12</f>
        <v>795.5</v>
      </c>
      <c r="F12" s="114">
        <v>20683</v>
      </c>
      <c r="G12" s="111">
        <f>F12/E12</f>
        <v>26</v>
      </c>
    </row>
    <row r="13" spans="1:7" x14ac:dyDescent="0.2">
      <c r="A13" s="79">
        <v>3</v>
      </c>
      <c r="B13" s="114">
        <v>26.5</v>
      </c>
      <c r="C13" s="114">
        <v>29</v>
      </c>
      <c r="D13" s="111">
        <f>2*B13+2*C13</f>
        <v>111</v>
      </c>
      <c r="E13" s="111">
        <f>B13*C13</f>
        <v>768.5</v>
      </c>
      <c r="F13" s="114">
        <v>20604.5</v>
      </c>
      <c r="G13" s="111">
        <f>F13/E13</f>
        <v>26.811320754716981</v>
      </c>
    </row>
    <row r="14" spans="1:7" x14ac:dyDescent="0.2">
      <c r="A14" s="79">
        <v>4</v>
      </c>
      <c r="B14" s="114">
        <v>30.82</v>
      </c>
      <c r="C14" s="114">
        <v>23.7</v>
      </c>
      <c r="D14" s="111">
        <f>2*B14+2*C14</f>
        <v>109.03999999999999</v>
      </c>
      <c r="E14" s="111">
        <f>B14*C14</f>
        <v>730.43399999999997</v>
      </c>
      <c r="F14" s="114">
        <v>18406</v>
      </c>
      <c r="G14" s="111">
        <f>F14/E14</f>
        <v>25.198717474816345</v>
      </c>
    </row>
  </sheetData>
  <sheetProtection password="C99E" sheet="1" objects="1" scenarios="1" selectLockedCells="1" selectUnlockedCells="1"/>
  <phoneticPr fontId="4" type="noConversion"/>
  <pageMargins left="0.78740157499999996" right="0.78740157499999996" top="0.984251969" bottom="0.984251969" header="0.4921259845" footer="0.492125984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47"/>
  </sheetPr>
  <dimension ref="A9:L13"/>
  <sheetViews>
    <sheetView workbookViewId="0">
      <selection activeCell="A29" sqref="A29"/>
    </sheetView>
  </sheetViews>
  <sheetFormatPr baseColWidth="10" defaultRowHeight="12.75" x14ac:dyDescent="0.2"/>
  <cols>
    <col min="1" max="1" width="6.28515625" bestFit="1" customWidth="1"/>
    <col min="3" max="3" width="9.42578125" customWidth="1"/>
    <col min="6" max="6" width="12.85546875" customWidth="1"/>
    <col min="7" max="7" width="13.28515625" customWidth="1"/>
    <col min="8" max="8" width="12.7109375" customWidth="1"/>
    <col min="9" max="9" width="14.7109375" customWidth="1"/>
    <col min="11" max="11" width="14.7109375" customWidth="1"/>
  </cols>
  <sheetData>
    <row r="9" spans="1:12" ht="38.25" x14ac:dyDescent="0.2">
      <c r="A9" s="128" t="s">
        <v>61</v>
      </c>
      <c r="B9" s="128" t="s">
        <v>62</v>
      </c>
      <c r="C9" s="128" t="s">
        <v>63</v>
      </c>
      <c r="D9" s="128" t="s">
        <v>64</v>
      </c>
      <c r="E9" s="128" t="s">
        <v>65</v>
      </c>
      <c r="F9" s="128" t="s">
        <v>66</v>
      </c>
      <c r="G9" s="128" t="s">
        <v>67</v>
      </c>
      <c r="H9" s="128" t="s">
        <v>68</v>
      </c>
      <c r="I9" s="128" t="s">
        <v>69</v>
      </c>
      <c r="J9" s="128" t="s">
        <v>70</v>
      </c>
      <c r="K9" s="128" t="s">
        <v>71</v>
      </c>
      <c r="L9" s="128" t="s">
        <v>72</v>
      </c>
    </row>
    <row r="10" spans="1:12" x14ac:dyDescent="0.2">
      <c r="A10" s="112" t="s">
        <v>73</v>
      </c>
      <c r="B10" s="129">
        <v>2970</v>
      </c>
      <c r="C10" s="129">
        <v>412.67</v>
      </c>
      <c r="D10" s="129">
        <v>13.65</v>
      </c>
      <c r="E10" s="129">
        <v>37.14</v>
      </c>
      <c r="F10" s="129">
        <v>289.58</v>
      </c>
      <c r="G10" s="129">
        <v>207.9</v>
      </c>
      <c r="H10" s="129">
        <v>25.25</v>
      </c>
      <c r="I10" s="129">
        <v>96.53</v>
      </c>
      <c r="J10" s="129">
        <f>SUM(C10:I10)</f>
        <v>1082.72</v>
      </c>
      <c r="K10" s="129">
        <f>J10/B10*100</f>
        <v>36.45521885521886</v>
      </c>
      <c r="L10" s="129">
        <f>B10-J10</f>
        <v>1887.28</v>
      </c>
    </row>
    <row r="11" spans="1:12" x14ac:dyDescent="0.2">
      <c r="A11" s="112" t="s">
        <v>74</v>
      </c>
      <c r="B11" s="129">
        <v>1293.42</v>
      </c>
      <c r="C11" s="129">
        <v>131.04</v>
      </c>
      <c r="D11" s="129">
        <v>7.21</v>
      </c>
      <c r="E11" s="129">
        <v>11.79</v>
      </c>
      <c r="F11" s="129">
        <v>126.11</v>
      </c>
      <c r="G11" s="129">
        <v>89.89</v>
      </c>
      <c r="H11" s="129">
        <v>10.99</v>
      </c>
      <c r="I11" s="129">
        <v>42.04</v>
      </c>
      <c r="J11" s="129">
        <f>SUM(C11:I11)</f>
        <v>419.07</v>
      </c>
      <c r="K11" s="129">
        <f>J11/B11*100</f>
        <v>32.400148443660996</v>
      </c>
      <c r="L11" s="129">
        <f>B11-J11</f>
        <v>874.35000000000014</v>
      </c>
    </row>
    <row r="12" spans="1:12" x14ac:dyDescent="0.2">
      <c r="A12" s="112" t="s">
        <v>75</v>
      </c>
      <c r="B12" s="129">
        <v>1474</v>
      </c>
      <c r="C12" s="129">
        <v>124.71</v>
      </c>
      <c r="D12" s="129">
        <v>0</v>
      </c>
      <c r="E12" s="129">
        <v>0</v>
      </c>
      <c r="F12" s="129">
        <v>143.72</v>
      </c>
      <c r="G12" s="129">
        <v>103.18</v>
      </c>
      <c r="H12" s="129">
        <v>12.53</v>
      </c>
      <c r="I12" s="129">
        <v>47.91</v>
      </c>
      <c r="J12" s="129">
        <f>SUM(C12:I12)</f>
        <v>432.04999999999995</v>
      </c>
      <c r="K12" s="129">
        <f>J12/B12*100</f>
        <v>29.311397557666215</v>
      </c>
      <c r="L12" s="129">
        <f>B12-J12</f>
        <v>1041.95</v>
      </c>
    </row>
    <row r="13" spans="1:12" x14ac:dyDescent="0.2">
      <c r="A13" s="112" t="s">
        <v>76</v>
      </c>
      <c r="B13" s="129">
        <v>1852</v>
      </c>
      <c r="C13" s="129">
        <v>308</v>
      </c>
      <c r="D13" s="129">
        <v>16.940000000000001</v>
      </c>
      <c r="E13" s="129">
        <v>27.72</v>
      </c>
      <c r="F13" s="129">
        <v>180.57</v>
      </c>
      <c r="G13" s="129">
        <v>134.27000000000001</v>
      </c>
      <c r="H13" s="129">
        <v>15.74</v>
      </c>
      <c r="I13" s="129">
        <v>60.19</v>
      </c>
      <c r="J13" s="129">
        <f>SUM(C13:I13)</f>
        <v>743.43000000000006</v>
      </c>
      <c r="K13" s="129">
        <f>J13/B13*100</f>
        <v>40.142008639308855</v>
      </c>
      <c r="L13" s="129">
        <f>B13-J13</f>
        <v>1108.57</v>
      </c>
    </row>
  </sheetData>
  <sheetProtection password="C99E" sheet="1" objects="1" scenarios="1" selectLockedCells="1" selectUnlockedCells="1"/>
  <phoneticPr fontId="4" type="noConversion"/>
  <pageMargins left="0.78740157499999996" right="0.78740157499999996" top="0.984251969" bottom="0.984251969" header="0.4921259845" footer="0.4921259845"/>
  <headerFooter alignWithMargins="0"/>
  <ignoredErrors>
    <ignoredError sqref="J10:J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Wochenveranstaltung</vt:lpstr>
      <vt:lpstr>Filialumsätze</vt:lpstr>
      <vt:lpstr>Verkäuferanalyse</vt:lpstr>
      <vt:lpstr>Kraftstoffverbrauch</vt:lpstr>
      <vt:lpstr>Filialkosten</vt:lpstr>
      <vt:lpstr>Lagerbestand</vt:lpstr>
      <vt:lpstr>Grundstückskauf</vt:lpstr>
      <vt:lpstr>Gehaltsermittlung</vt:lpstr>
      <vt:lpstr>L1</vt:lpstr>
      <vt:lpstr>L2</vt:lpstr>
      <vt:lpstr>L3</vt:lpstr>
      <vt:lpstr>L4</vt:lpstr>
      <vt:lpstr>L5</vt:lpstr>
      <vt:lpstr>L6</vt:lpstr>
      <vt:lpstr>L7</vt:lpstr>
      <vt:lpstr>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 Poel</dc:creator>
  <cp:lastModifiedBy>Annalena Frey</cp:lastModifiedBy>
  <dcterms:created xsi:type="dcterms:W3CDTF">2008-10-14T19:09:52Z</dcterms:created>
  <dcterms:modified xsi:type="dcterms:W3CDTF">2025-09-29T11:24:54Z</dcterms:modified>
</cp:coreProperties>
</file>